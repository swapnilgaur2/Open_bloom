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Users\HP\Desktop\Open_bloom\"/>
    </mc:Choice>
  </mc:AlternateContent>
  <xr:revisionPtr revIDLastSave="0" documentId="10_ncr:8120000_{FCCA252E-93C3-444A-A3FE-117A65ADE641}" xr6:coauthVersionLast="34" xr6:coauthVersionMax="34" xr10:uidLastSave="{00000000-0000-0000-0000-000000000000}"/>
  <bookViews>
    <workbookView xWindow="0" yWindow="0" windowWidth="23040" windowHeight="9216" activeTab="1" xr2:uid="{00000000-000D-0000-FFFF-FFFF00000000}"/>
  </bookViews>
  <sheets>
    <sheet name="Start Here" sheetId="1" r:id="rId1"/>
    <sheet name="Progress Dashboard" sheetId="2" r:id="rId2"/>
    <sheet name="Task Tracker" sheetId="3" r:id="rId3"/>
    <sheet name="PC Prerequisites" sheetId="4" r:id="rId4"/>
    <sheet name="Weekly Plan" sheetId="5" r:id="rId5"/>
    <sheet name="Learning Log" sheetId="6" r:id="rId6"/>
  </sheets>
  <definedNames>
    <definedName name="_xlnm._FilterDatabase" localSheetId="3" hidden="1">'PC Prerequisites'!$A$4:$F$20</definedName>
    <definedName name="_xlnm._FilterDatabase" localSheetId="2" hidden="1">'Task Tracker'!$A$4:$I$55</definedName>
  </definedNames>
  <calcPr calcId="179021"/>
  <fileRecoveryPr repairLoad="1"/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9" i="2" s="1"/>
</calcChain>
</file>

<file path=xl/sharedStrings.xml><?xml version="1.0" encoding="utf-8"?>
<sst xmlns="http://schemas.openxmlformats.org/spreadsheetml/2006/main" count="569" uniqueCount="364">
  <si>
    <t>OpenBloom | Project Control Center</t>
  </si>
  <si>
    <t>A practical checklist for building a portfolio-quality financial data product. Update Status as you work; the dashboard calculates completion.</t>
  </si>
  <si>
    <t>Topic</t>
  </si>
  <si>
    <t>Guidance</t>
  </si>
  <si>
    <t>Project goal</t>
  </si>
  <si>
    <t>Build a reliable financial research app using public SEC company data, Python, SQL, analytics, data quality, and (later) an evidence-grounded LLM.</t>
  </si>
  <si>
    <t>Build order</t>
  </si>
  <si>
    <t>Environment → Git repo → SEC data retrieval → inspect data → SQL/database → deterministic metrics → dashboard → quality/lineage → LLM → evaluation → publish.</t>
  </si>
  <si>
    <t>Minimum viable product</t>
  </si>
  <si>
    <t>Search/select one US public company; retrieve company facts; calculate revenue and operating-margin trends correctly; display charts; show source and reporting period; include tests and a clear README.</t>
  </si>
  <si>
    <t>Important scope rule</t>
  </si>
  <si>
    <t>Do not start with AI, multiple providers, forecasting, autonomous agents, or a Bloomberg clone. Make one end-to-end workflow reliable first.</t>
  </si>
  <si>
    <t>Coding assistant</t>
  </si>
  <si>
    <t>Use one assistant (e.g., ChatGPT for planning/review plus one coding assistant in VS Code). Avoid adding tools until you have a concrete need.</t>
  </si>
  <si>
    <t>LLM/API billing</t>
  </si>
  <si>
    <t>A ChatGPT subscription does not automatically include API credits. Check provider billing before wiring an LLM into the app. The core data/analytics MVP does not need an LLM API.</t>
  </si>
  <si>
    <t>SEC access</t>
  </si>
  <si>
    <t>Read the SEC EDGAR API documentation and current fair-access guidance. Use an identifying User-Agent, sensible request rates, timeouts, retries, and caching.</t>
  </si>
  <si>
    <t>Data/licensing</t>
  </si>
  <si>
    <t>Publicly accessible does not mean every reuse or redistribution is unrestricted. Check provider terms and attribution requirements; cite source filings.</t>
  </si>
  <si>
    <t>Data correctness</t>
  </si>
  <si>
    <t>SEC company facts can contain multiple units, durations, annual/quarterly contexts, amendments, and nonstandard fiscal years. Do not blindly select the first value.</t>
  </si>
  <si>
    <t>Security</t>
  </si>
  <si>
    <t>Never commit .env files, API keys, tokens, private data, or raw sensitive captures. Use .env.example with placeholders.</t>
  </si>
  <si>
    <t>Definition of done</t>
  </si>
  <si>
    <t>A stranger can set it up from the README, reproduce the workflow, inspect source provenance, and run the tests.</t>
  </si>
  <si>
    <t>OpenBloom | Progress Dashboard</t>
  </si>
  <si>
    <t>Status is calculated from the task tracker. Use the dropdown in the Task Tracker sheet.</t>
  </si>
  <si>
    <t>Total tasks</t>
  </si>
  <si>
    <t>Completed</t>
  </si>
  <si>
    <t>In progress</t>
  </si>
  <si>
    <t>Blocked</t>
  </si>
  <si>
    <t>Not started</t>
  </si>
  <si>
    <t>Completion %</t>
  </si>
  <si>
    <t>How to use</t>
  </si>
  <si>
    <t>Open Task Tracker → change Status using the dropdown. Add a date and notes as you work. The dashboard updates when Excel recalculates.</t>
  </si>
  <si>
    <t>OpenBloom | Step-by-Step Task Tracker</t>
  </si>
  <si>
    <t>Change Status via dropdown: Not Started / In Progress / Blocked / Done. Mark Done only when the acceptance check is satisfied.</t>
  </si>
  <si>
    <t>ID</t>
  </si>
  <si>
    <t>Phase</t>
  </si>
  <si>
    <t>Task</t>
  </si>
  <si>
    <t>Acceptance check / evidence</t>
  </si>
  <si>
    <t>Priority</t>
  </si>
  <si>
    <t>Status</t>
  </si>
  <si>
    <t>Estimated time</t>
  </si>
  <si>
    <t>Actual date</t>
  </si>
  <si>
    <t>Notes / blocker</t>
  </si>
  <si>
    <t>P0.1</t>
  </si>
  <si>
    <t>Scope &amp; planning</t>
  </si>
  <si>
    <t>Write a one-paragraph problem statement</t>
  </si>
  <si>
    <t>README states target user, decision supported, and MVP boundary.</t>
  </si>
  <si>
    <t>Must</t>
  </si>
  <si>
    <t>Not Started</t>
  </si>
  <si>
    <t>30 min</t>
  </si>
  <si>
    <t>P0.2</t>
  </si>
  <si>
    <t>Create GitHub repository</t>
  </si>
  <si>
    <t>Repository exists; README and .gitignore committed; no secrets committed.</t>
  </si>
  <si>
    <t>P0.3</t>
  </si>
  <si>
    <t>Choose one test company</t>
  </si>
  <si>
    <t>Record company name, CIK, ticker, and why it is a useful test case.</t>
  </si>
  <si>
    <t>20 min</t>
  </si>
  <si>
    <t>P0.4</t>
  </si>
  <si>
    <t>Read SEC API and fair-access guidance</t>
  </si>
  <si>
    <t>Record endpoints used, User-Agent approach, request limits, and source URLs in docs.</t>
  </si>
  <si>
    <t>45 min</t>
  </si>
  <si>
    <t>E1.1</t>
  </si>
  <si>
    <t>Environment</t>
  </si>
  <si>
    <t>Install supported Python 3 version</t>
  </si>
  <si>
    <t>python --version runs; version is recorded in README.</t>
  </si>
  <si>
    <t>E1.2</t>
  </si>
  <si>
    <t>Install VS Code</t>
  </si>
  <si>
    <t>Can open project folder and integrated terminal.</t>
  </si>
  <si>
    <t>15 min</t>
  </si>
  <si>
    <t>E1.3</t>
  </si>
  <si>
    <t>Install Git</t>
  </si>
  <si>
    <t>git --version runs; name/email configured if needed.</t>
  </si>
  <si>
    <t>E1.4</t>
  </si>
  <si>
    <t>Create virtual environment</t>
  </si>
  <si>
    <t>Project-local .venv exists and can be activated.</t>
  </si>
  <si>
    <t>E1.5</t>
  </si>
  <si>
    <t>Install initial packages</t>
  </si>
  <si>
    <t>Streamlit, pandas, plotly, requests, python-dotenv, pytest install successfully.</t>
  </si>
  <si>
    <t>E1.6</t>
  </si>
  <si>
    <t>Create requirements.txt</t>
  </si>
  <si>
    <t>Dependencies are recorded; a fresh environment can install them.</t>
  </si>
  <si>
    <t>E1.7</t>
  </si>
  <si>
    <t>Create .gitignore and .env.example</t>
  </si>
  <si>
    <t>.venv, __pycache__, .env, database files and caches are excluded appropriately; .env.example has placeholders only.</t>
  </si>
  <si>
    <t>E1.8</t>
  </si>
  <si>
    <t>Run a minimal Streamlit app</t>
  </si>
  <si>
    <t>streamlit run app.py opens locally and displays OpenBloom title.</t>
  </si>
  <si>
    <t>E1.9</t>
  </si>
  <si>
    <t>Make first Git commit</t>
  </si>
  <si>
    <t>git status is clean after commit; no credentials or large raw files included.</t>
  </si>
  <si>
    <t>D2.1</t>
  </si>
  <si>
    <t>SEC ingestion</t>
  </si>
  <si>
    <t>Read SEC company-facts documentation</t>
  </si>
  <si>
    <t>Understand company submissions vs company facts and the expected JSON shape.</t>
  </si>
  <si>
    <t>D2.2</t>
  </si>
  <si>
    <t>Implement HTTP client</t>
  </si>
  <si>
    <t>Timeouts, status checking, helpful errors, identifying User-Agent, and reasonable request pacing are implemented.</t>
  </si>
  <si>
    <t>60 min</t>
  </si>
  <si>
    <t>D2.3</t>
  </si>
  <si>
    <t>Fetch company facts for one CIK</t>
  </si>
  <si>
    <t>A script saves or returns a real response successfully; retrieval time and source are logged.</t>
  </si>
  <si>
    <t>D2.4</t>
  </si>
  <si>
    <t>Inspect raw response structure</t>
  </si>
  <si>
    <t>Document concepts, units, forms, fiscal periods, and fields needed; don't assume one tag covers all companies.</t>
  </si>
  <si>
    <t>D2.5</t>
  </si>
  <si>
    <t>Add caching / avoid repeated requests</t>
  </si>
  <si>
    <t>Repeated runs don't needlessly refetch unchanged data; behavior is documented.</t>
  </si>
  <si>
    <t>Should</t>
  </si>
  <si>
    <t>D2.6</t>
  </si>
  <si>
    <t>Handle bad CIK, HTTP errors, and malformed JSON</t>
  </si>
  <si>
    <t>Tests show graceful failure with useful error messages.</t>
  </si>
  <si>
    <t>M3.1</t>
  </si>
  <si>
    <t>Data modeling &amp; SQL</t>
  </si>
  <si>
    <t>Design a small data dictionary</t>
  </si>
  <si>
    <t>Each chosen field has definition, unit, grain, source, and known limitations.</t>
  </si>
  <si>
    <t>M3.2</t>
  </si>
  <si>
    <t>Design SQLite schema</t>
  </si>
  <si>
    <t>Tables/keys preserve company, concept, unit, period, filing/source, and ingestion metadata.</t>
  </si>
  <si>
    <t>M3.3</t>
  </si>
  <si>
    <t>Create database tables</t>
  </si>
  <si>
    <t>Schema is created reproducibly by code or a SQL script.</t>
  </si>
  <si>
    <t>M3.4</t>
  </si>
  <si>
    <t>Normalize selected financial facts</t>
  </si>
  <si>
    <t>Values preserve units, duration/instant context, filing form, fiscal period, and source reference.</t>
  </si>
  <si>
    <t>90 min</t>
  </si>
  <si>
    <t>M3.5</t>
  </si>
  <si>
    <t>Load normalized records into SQLite</t>
  </si>
  <si>
    <t>Can query records after app/script restarts; duplicate handling is defined.</t>
  </si>
  <si>
    <t>M3.6</t>
  </si>
  <si>
    <t>Write SQL trend query using LAG</t>
  </si>
  <si>
    <t>Query returns ordered periods and previous-period value; you can explain the window function.</t>
  </si>
  <si>
    <t>M3.7</t>
  </si>
  <si>
    <t>Document annual vs quarterly logic</t>
  </si>
  <si>
    <t>Metric selection avoids mixing incompatible durations, units, periods, or amended filings without a rule.</t>
  </si>
  <si>
    <t>A4.1</t>
  </si>
  <si>
    <t>Analytics</t>
  </si>
  <si>
    <t>Implement revenue growth calculation</t>
  </si>
  <si>
    <t>Formula is tested; missing prior period and zero denominator are handled explicitly.</t>
  </si>
  <si>
    <t>A4.2</t>
  </si>
  <si>
    <t>Implement operating margin calculation</t>
  </si>
  <si>
    <t>Operating income / revenue uses compatible periods and units; missing or zero revenue handled.</t>
  </si>
  <si>
    <t>A4.3</t>
  </si>
  <si>
    <t>Validate outputs against source facts</t>
  </si>
  <si>
    <t>At least two periods are manually checked against source data and calculations independently reproduced.</t>
  </si>
  <si>
    <t>A4.4</t>
  </si>
  <si>
    <t>Create company overview metrics</t>
  </si>
  <si>
    <t>UI shows company identity, periods available, filing date/source, and data freshness.</t>
  </si>
  <si>
    <t>A4.5</t>
  </si>
  <si>
    <t>Create Plotly charts</t>
  </si>
  <si>
    <t>Revenue, operating income, and margin trends render with labels, units, and period context.</t>
  </si>
  <si>
    <t>Q5.1</t>
  </si>
  <si>
    <t>Data quality &amp; lineage</t>
  </si>
  <si>
    <t>Add missing/duplicate/unit checks</t>
  </si>
  <si>
    <t>Quality checks run automatically and surface actionable issues.</t>
  </si>
  <si>
    <t>Q5.2</t>
  </si>
  <si>
    <t>Track ingestion runs and failures</t>
  </si>
  <si>
    <t>Each run has timestamp, status, source, and error summary.</t>
  </si>
  <si>
    <t>Q5.3</t>
  </si>
  <si>
    <t>Show metric provenance</t>
  </si>
  <si>
    <t>A user can inspect the source filing, source concept, period, unit, and calculation behind a metric.</t>
  </si>
  <si>
    <t>Q5.4</t>
  </si>
  <si>
    <t>Create a data-flow diagram</t>
  </si>
  <si>
    <t>Diagram documents source → ingestion → raw/normalized data → analytics → UI/LLM.</t>
  </si>
  <si>
    <t>Q5.5</t>
  </si>
  <si>
    <t>Create a basic risk/issue register</t>
  </si>
  <si>
    <t>Document data limitations, licensing, stale data, metric ambiguity, and AI hallucination risks with mitigations.</t>
  </si>
  <si>
    <t>L6.1</t>
  </si>
  <si>
    <t>LLM research</t>
  </si>
  <si>
    <t>Choose one provider and verify API access</t>
  </si>
  <si>
    <t>Provider terms/pricing are reviewed; API key is stored outside source control.</t>
  </si>
  <si>
    <t>L6.2</t>
  </si>
  <si>
    <t>Define a small question set</t>
  </si>
  <si>
    <t>At least 10 questions with expected evidence or a documented 'insufficient evidence' answer.</t>
  </si>
  <si>
    <t>L6.3</t>
  </si>
  <si>
    <t>Retrieve filing evidence before generation</t>
  </si>
  <si>
    <t>The model receives bounded, relevant excerpts/facts with source IDs, not arbitrary unsupported context.</t>
  </si>
  <si>
    <t>L6.4</t>
  </si>
  <si>
    <t>Implement structured response schema</t>
  </si>
  <si>
    <t>Response separates summary, observations, evidence references, and limitations; malformed output is handled.</t>
  </si>
  <si>
    <t>L6.5</t>
  </si>
  <si>
    <t>Validate citations and claims</t>
  </si>
  <si>
    <t>Displayed references exist and support the associated claim; unsupported answers are flagged or rejected.</t>
  </si>
  <si>
    <t>L6.6</t>
  </si>
  <si>
    <t>Record evaluation results</t>
  </si>
  <si>
    <t>Test set records expected evidence, model output, pass/fail rationale, and failure cases.</t>
  </si>
  <si>
    <t>T7.1</t>
  </si>
  <si>
    <t>Testing &amp; reliability</t>
  </si>
  <si>
    <t>Write unit tests for calculations</t>
  </si>
  <si>
    <t>Tests cover typical values, missing data, zero denominator, negative values where relevant, and rounding.</t>
  </si>
  <si>
    <t>T7.2</t>
  </si>
  <si>
    <t>Write ingestion tests with mocked responses</t>
  </si>
  <si>
    <t>Tests cover success, HTTP failure, timeout, and malformed payload.</t>
  </si>
  <si>
    <t>T7.3</t>
  </si>
  <si>
    <t>Run full test suite</t>
  </si>
  <si>
    <t>pytest completes successfully; failures are resolved or documented.</t>
  </si>
  <si>
    <t>T7.4</t>
  </si>
  <si>
    <t>Test clean setup from README</t>
  </si>
  <si>
    <t>A fresh virtual environment can install dependencies and run the app using documented steps.</t>
  </si>
  <si>
    <t>R8.1</t>
  </si>
  <si>
    <t>Release &amp; portfolio</t>
  </si>
  <si>
    <t>Complete README</t>
  </si>
  <si>
    <t>Problem, features, architecture, setup, data sources, screenshots, testing, limitations, roadmap are documented.</t>
  </si>
  <si>
    <t>R8.2</t>
  </si>
  <si>
    <t>Add screenshots / short demo</t>
  </si>
  <si>
    <t>Screenshots use legitimate data and show source/period context; no secrets or private info visible.</t>
  </si>
  <si>
    <t>R8.3</t>
  </si>
  <si>
    <t>Review data-source terms and attribution</t>
  </si>
  <si>
    <t>README clearly explains source attribution, usage constraints, and what is or isn't redistributed.</t>
  </si>
  <si>
    <t>R8.4</t>
  </si>
  <si>
    <t>Publish first usable release</t>
  </si>
  <si>
    <t>Repository is reproducible; core workflow works; limitations are candidly stated.</t>
  </si>
  <si>
    <t>R8.5</t>
  </si>
  <si>
    <t>Write resume bullets based on shipped features</t>
  </si>
  <si>
    <t>Each bullet is verifiable and contains no invented impact metrics.</t>
  </si>
  <si>
    <t>OpenBloom | PC Setup &amp; Prerequisites</t>
  </si>
  <si>
    <t>Install only what you need for the MVP. Keep the setup simple; add tools later only when a task requires them.</t>
  </si>
  <si>
    <t>Item</t>
  </si>
  <si>
    <t>Required?</t>
  </si>
  <si>
    <t>Purpose</t>
  </si>
  <si>
    <t>Install / verify</t>
  </si>
  <si>
    <t>Verification</t>
  </si>
  <si>
    <t>Notes</t>
  </si>
  <si>
    <t>Windows 10/11 updates</t>
  </si>
  <si>
    <t>Recommended</t>
  </si>
  <si>
    <t>Stable, patched development environment</t>
  </si>
  <si>
    <t>Run Windows Update and restart if required</t>
  </si>
  <si>
    <t>Windows Update reports no pending required restart</t>
  </si>
  <si>
    <t>Avoid installing unrelated tools during setup.</t>
  </si>
  <si>
    <t>Python 3</t>
  </si>
  <si>
    <t>Required</t>
  </si>
  <si>
    <t>Run the app, data pipeline, tests</t>
  </si>
  <si>
    <t>Install a current stable Python 3 release from python.org; enable launcher/PATH options if offered</t>
  </si>
  <si>
    <t>py --version and python --version (at least one should work)</t>
  </si>
  <si>
    <t>Use one Python version consistently; record it in README.</t>
  </si>
  <si>
    <t>Visual Studio Code</t>
  </si>
  <si>
    <t>Required/recommended</t>
  </si>
  <si>
    <t>Edit files and use integrated terminal</t>
  </si>
  <si>
    <t>Install from official VS Code website</t>
  </si>
  <si>
    <t>code --version or open the app manually</t>
  </si>
  <si>
    <t>Python extension is useful.</t>
  </si>
  <si>
    <t>Git</t>
  </si>
  <si>
    <t>Version control and GitHub workflow</t>
  </si>
  <si>
    <t>Install Git for Windows</t>
  </si>
  <si>
    <t>git --version</t>
  </si>
  <si>
    <t>Set user.name and user.email if commits ask for them.</t>
  </si>
  <si>
    <t>GitHub account</t>
  </si>
  <si>
    <t>Required for public portfolio</t>
  </si>
  <si>
    <t>Host repository and issue tracker</t>
  </si>
  <si>
    <t>Create/sign in at GitHub</t>
  </si>
  <si>
    <t>Can create a repository</t>
  </si>
  <si>
    <t>Do not publish API keys, private data, or unredacted traces.</t>
  </si>
  <si>
    <t>Python virtual environment</t>
  </si>
  <si>
    <t>Isolate project dependencies</t>
  </si>
  <si>
    <t>python -m venv .venv</t>
  </si>
  <si>
    <t>Activate it; python -m pip --version points inside .venv</t>
  </si>
  <si>
    <t>Do not commit .venv.</t>
  </si>
  <si>
    <t>Python packages</t>
  </si>
  <si>
    <t>App, data processing, HTTP, tests</t>
  </si>
  <si>
    <t>pip install streamlit pandas plotly requests python-dotenv pytest</t>
  </si>
  <si>
    <t>python -m pip show streamlit pandas plotly requests python-dotenv pytest</t>
  </si>
  <si>
    <t>Use requirements.txt for repeatable installs.</t>
  </si>
  <si>
    <t>SEC API docs and User-Agent</t>
  </si>
  <si>
    <t>Access public company facts responsibly</t>
  </si>
  <si>
    <t>Read SEC EDGAR API docs and fair-access guidance; configure an identifying User-Agent</t>
  </si>
  <si>
    <t>One successful request and documented source URL</t>
  </si>
  <si>
    <t>No API key is typically required for SEC company submissions/company facts; obey current policies.</t>
  </si>
  <si>
    <t>LLM API account/key</t>
  </si>
  <si>
    <t>Optional for initial MVP</t>
  </si>
  <si>
    <t>Generate evidence-grounded research summaries</t>
  </si>
  <si>
    <t>Choose one provider only when ready; review pricing and API terms</t>
  </si>
  <si>
    <t>A small test request succeeds, if enabled</t>
  </si>
  <si>
    <t>ChatGPT subscription and API billing are separate.</t>
  </si>
  <si>
    <t>SQLite</t>
  </si>
  <si>
    <t>Included with Python</t>
  </si>
  <si>
    <t>Local relational database</t>
  </si>
  <si>
    <t>Use Python sqlite3; no separate server needed</t>
  </si>
  <si>
    <t>Python can import sqlite3 and create a test DB</t>
  </si>
  <si>
    <t>Do not add PostgreSQL yet unless needed.</t>
  </si>
  <si>
    <t>Excel / LibreOffice</t>
  </si>
  <si>
    <t>Optional</t>
  </si>
  <si>
    <t>Track progress and inspect spreadsheet outputs</t>
  </si>
  <si>
    <t>Use Excel or LibreOffice Calc</t>
  </si>
  <si>
    <t>Can open this workbook</t>
  </si>
  <si>
    <t>Not required to build OpenBloom.</t>
  </si>
  <si>
    <t>Power BI Desktop</t>
  </si>
  <si>
    <t>Optional, later</t>
  </si>
  <si>
    <t>Separate BI portfolio artifact</t>
  </si>
  <si>
    <t>Install only if you decide to make a Power BI case study</t>
  </si>
  <si>
    <t>Power BI opens and imports sample data</t>
  </si>
  <si>
    <t>Not required for OpenBloom MVP.</t>
  </si>
  <si>
    <t>Docker</t>
  </si>
  <si>
    <t>Not required initially</t>
  </si>
  <si>
    <t>Containerization / reproducible deployment later</t>
  </si>
  <si>
    <t>Skip for MVP</t>
  </si>
  <si>
    <t>N/A</t>
  </si>
  <si>
    <t>Add only after local workflow is stable.</t>
  </si>
  <si>
    <t>Node.js / React</t>
  </si>
  <si>
    <t>Separate frontend stack</t>
  </si>
  <si>
    <t>Skip for Streamlit MVP</t>
  </si>
  <si>
    <t>Avoid adding frontend complexity.</t>
  </si>
  <si>
    <t>Vector database</t>
  </si>
  <si>
    <t>Large-scale semantic retrieval later</t>
  </si>
  <si>
    <t>Skip initially</t>
  </si>
  <si>
    <t>Start with filing metadata and bounded text retrieval.</t>
  </si>
  <si>
    <t>API secrets handling</t>
  </si>
  <si>
    <t>Required if using LLM API</t>
  </si>
  <si>
    <t>Prevent credential leakage</t>
  </si>
  <si>
    <t>Use .env locally and .gitignore; .env.example contains placeholders only</t>
  </si>
  <si>
    <t>git status shows .env ignored</t>
  </si>
  <si>
    <t>Rotate any key accidentally committed.</t>
  </si>
  <si>
    <t>OpenBloom | Suggested Weekly Plan</t>
  </si>
  <si>
    <t>Use this as a guide, not a reason to skip validation. If you are learning Python/SQL simultaneously, stretch the schedule.</t>
  </si>
  <si>
    <t>Week / session</t>
  </si>
  <si>
    <t>Focus</t>
  </si>
  <si>
    <t>Deliverable</t>
  </si>
  <si>
    <t>Exit criteria</t>
  </si>
  <si>
    <t>Session 1</t>
  </si>
  <si>
    <t>Scope + setup</t>
  </si>
  <si>
    <t>Repo, venv, Streamlit hello-world</t>
  </si>
  <si>
    <t>App runs locally; first commit is clean</t>
  </si>
  <si>
    <t>Session 2</t>
  </si>
  <si>
    <t>SEC API</t>
  </si>
  <si>
    <t>One-company data retrieval</t>
  </si>
  <si>
    <t>Real response retrieved with User-Agent and errors handled</t>
  </si>
  <si>
    <t>Session 3</t>
  </si>
  <si>
    <t>Data inspection</t>
  </si>
  <si>
    <t>Notes on concepts, units, periods, forms</t>
  </si>
  <si>
    <t>Can explain source JSON and chosen facts</t>
  </si>
  <si>
    <t>Session 4</t>
  </si>
  <si>
    <t>SQL + SQLite</t>
  </si>
  <si>
    <t>Schema and repeatable load</t>
  </si>
  <si>
    <t>Data persists; queries return correct periods</t>
  </si>
  <si>
    <t>Session 5</t>
  </si>
  <si>
    <t>Growth/margin functions + tests</t>
  </si>
  <si>
    <t>Manual calculation matches source values</t>
  </si>
  <si>
    <t>Session 6</t>
  </si>
  <si>
    <t>Dashboard + provenance</t>
  </si>
  <si>
    <t>Company overview and charts</t>
  </si>
  <si>
    <t>Metrics link back to source and period</t>
  </si>
  <si>
    <t>Session 7</t>
  </si>
  <si>
    <t>Quality controls</t>
  </si>
  <si>
    <t>Quality checks + ingestion run log</t>
  </si>
  <si>
    <t>Known data issues are visible, not hidden</t>
  </si>
  <si>
    <t>Session 8</t>
  </si>
  <si>
    <t>LLM (optional MVP extension)</t>
  </si>
  <si>
    <t>Evidence-grounded Q&amp;A</t>
  </si>
  <si>
    <t>Small test set reviewed; unsupported claims are caught or disclosed</t>
  </si>
  <si>
    <t>Session 9</t>
  </si>
  <si>
    <t>Release</t>
  </si>
  <si>
    <t>README, screenshots, clean setup test</t>
  </si>
  <si>
    <t>A new user can reproduce the core workflow</t>
  </si>
  <si>
    <t>OpenBloom | Learning &amp; Decision Log</t>
  </si>
  <si>
    <t>Record what you learned, what the AI suggested, what you verified, and why you made a design decision.</t>
  </si>
  <si>
    <t>Date</t>
  </si>
  <si>
    <t>Topic / task</t>
  </si>
  <si>
    <t>What I learned</t>
  </si>
  <si>
    <t>AI suggestion</t>
  </si>
  <si>
    <t>How I verified it</t>
  </si>
  <si>
    <t>Decision / change</t>
  </si>
  <si>
    <t>Next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</si>
</sst>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0"/>
      <color rgb="FF404040"/>
      <name val="Calibri"/>
    </font>
    <font>
      <b/>
      <sz val="11"/>
      <color rgb="FFFFFFFF"/>
      <name val="Calibri"/>
    </font>
    <font>
      <b/>
      <sz val="11"/>
      <color rgb="FF17365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2F0D9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3" borderId="0" xfId="0" applyFont="1" applyFill="1"/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3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2" xfId="0" applyBorder="1"/>
    <xf numFmtId="0" fontId="4" fillId="4" borderId="2" xfId="0" applyFont="1" applyFill="1" applyBorder="1"/>
    <xf numFmtId="0" fontId="0" fillId="5" borderId="2" xfId="0" applyFill="1" applyBorder="1"/>
    <xf numFmtId="9" fontId="0" fillId="6" borderId="2" xfId="0" applyNumberFormat="1" applyFill="1" applyBorder="1"/>
  </cellXfs>
  <cellStyles count="1"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OpenBloomWeeklyPlan" displayName="OpenBloomWeeklyPlan" ref="A4:E13" headerRowDxfId="1" totalsRowDxfId="0" headerRowBorderDxfId="7" tableBorderDxfId="8">
  <autoFilter ref="A4:E13" xr:uid="{00000000-0009-0000-0100-000003000000}"/>
  <tableColumns count="5">
    <tableColumn id="1" xr3:uid="{00000000-0010-0000-0000-000001000000}" name="Week / session" dataDxfId="6"/>
    <tableColumn id="2" xr3:uid="{00000000-0010-0000-0000-000002000000}" name="Focus" dataDxfId="5"/>
    <tableColumn id="3" xr3:uid="{00000000-0010-0000-0000-000003000000}" name="Deliverable" dataDxfId="4"/>
    <tableColumn id="4" xr3:uid="{00000000-0010-0000-0000-000004000000}" name="Exit criteria" dataDxfId="3"/>
    <tableColumn id="5" xr3:uid="{00000000-0010-0000-0000-000005000000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"/>
  <sheetViews>
    <sheetView showGridLines="0" zoomScale="90" workbookViewId="0">
      <pane ySplit="4" topLeftCell="A5" activePane="bottomLeft" state="frozen"/>
      <selection pane="bottomLeft" activeCell="B6" sqref="B6"/>
    </sheetView>
  </sheetViews>
  <sheetFormatPr defaultRowHeight="14.4"/>
  <cols>
    <col min="1" max="1" width="23" customWidth="1"/>
    <col min="2" max="2" width="110" customWidth="1"/>
  </cols>
  <sheetData>
    <row r="1" spans="1:6" ht="31.95" customHeight="1">
      <c r="A1" s="6" t="s">
        <v>0</v>
      </c>
      <c r="B1" s="5"/>
      <c r="C1" s="5"/>
      <c r="D1" s="5"/>
      <c r="E1" s="5"/>
      <c r="F1" s="5"/>
    </row>
    <row r="2" spans="1:6" ht="30" customHeight="1">
      <c r="A2" s="4" t="s">
        <v>1</v>
      </c>
      <c r="B2" s="5"/>
      <c r="C2" s="5"/>
      <c r="D2" s="5"/>
      <c r="E2" s="5"/>
      <c r="F2" s="5"/>
    </row>
    <row r="4" spans="1:6" ht="30" customHeight="1">
      <c r="A4" s="8" t="s">
        <v>2</v>
      </c>
      <c r="B4" s="8" t="s">
        <v>3</v>
      </c>
    </row>
    <row r="5" spans="1:6" ht="28.8">
      <c r="A5" s="9" t="s">
        <v>4</v>
      </c>
      <c r="B5" s="10" t="s">
        <v>5</v>
      </c>
    </row>
    <row r="6" spans="1:6" ht="28.8">
      <c r="A6" s="9" t="s">
        <v>6</v>
      </c>
      <c r="B6" s="10" t="s">
        <v>7</v>
      </c>
    </row>
    <row r="7" spans="1:6" ht="28.8">
      <c r="A7" s="9" t="s">
        <v>8</v>
      </c>
      <c r="B7" s="10" t="s">
        <v>9</v>
      </c>
    </row>
    <row r="8" spans="1:6" ht="28.8">
      <c r="A8" s="9" t="s">
        <v>10</v>
      </c>
      <c r="B8" s="10" t="s">
        <v>11</v>
      </c>
    </row>
    <row r="9" spans="1:6" ht="28.8">
      <c r="A9" s="9" t="s">
        <v>12</v>
      </c>
      <c r="B9" s="10" t="s">
        <v>13</v>
      </c>
    </row>
    <row r="10" spans="1:6" ht="28.8">
      <c r="A10" s="9" t="s">
        <v>14</v>
      </c>
      <c r="B10" s="10" t="s">
        <v>15</v>
      </c>
    </row>
    <row r="11" spans="1:6" ht="28.8">
      <c r="A11" s="9" t="s">
        <v>16</v>
      </c>
      <c r="B11" s="10" t="s">
        <v>17</v>
      </c>
    </row>
    <row r="12" spans="1:6" ht="28.8">
      <c r="A12" s="9" t="s">
        <v>18</v>
      </c>
      <c r="B12" s="10" t="s">
        <v>19</v>
      </c>
    </row>
    <row r="13" spans="1:6" ht="28.8">
      <c r="A13" s="9" t="s">
        <v>20</v>
      </c>
      <c r="B13" s="10" t="s">
        <v>21</v>
      </c>
    </row>
    <row r="14" spans="1:6">
      <c r="A14" s="9" t="s">
        <v>22</v>
      </c>
      <c r="B14" s="10" t="s">
        <v>23</v>
      </c>
    </row>
    <row r="15" spans="1:6">
      <c r="A15" s="9" t="s">
        <v>24</v>
      </c>
      <c r="B15" s="10" t="s">
        <v>25</v>
      </c>
    </row>
  </sheetData>
  <mergeCells count="2">
    <mergeCell ref="A2:F2"/>
    <mergeCell ref="A1:F1"/>
  </mergeCells>
  <pageMargins left="0.25" right="0.2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3"/>
  <sheetViews>
    <sheetView showGridLines="0" tabSelected="1" zoomScale="90" workbookViewId="0">
      <selection activeCell="G16" sqref="G16"/>
    </sheetView>
  </sheetViews>
  <sheetFormatPr defaultRowHeight="14.4"/>
  <cols>
    <col min="1" max="1" width="24" customWidth="1"/>
    <col min="2" max="2" width="22" customWidth="1"/>
    <col min="3" max="5" width="18" customWidth="1"/>
  </cols>
  <sheetData>
    <row r="1" spans="1:5" ht="31.95" customHeight="1">
      <c r="A1" s="6" t="s">
        <v>26</v>
      </c>
      <c r="B1" s="5"/>
      <c r="C1" s="5"/>
      <c r="D1" s="5"/>
      <c r="E1" s="5"/>
    </row>
    <row r="2" spans="1:5" ht="30" customHeight="1">
      <c r="A2" s="4" t="s">
        <v>27</v>
      </c>
      <c r="B2" s="5"/>
      <c r="C2" s="5"/>
      <c r="D2" s="5"/>
      <c r="E2" s="5"/>
    </row>
    <row r="4" spans="1:5">
      <c r="A4" s="20" t="s">
        <v>28</v>
      </c>
      <c r="B4" s="21">
        <f>COUNTA('Task Tracker'!A5:A100)</f>
        <v>51</v>
      </c>
    </row>
    <row r="5" spans="1:5">
      <c r="A5" s="20" t="s">
        <v>29</v>
      </c>
      <c r="B5" s="21">
        <f>COUNTIF('Task Tracker'!F5:F100,"Done")</f>
        <v>0</v>
      </c>
    </row>
    <row r="6" spans="1:5">
      <c r="A6" s="20" t="s">
        <v>30</v>
      </c>
      <c r="B6" s="21">
        <f>COUNTIF('Task Tracker'!F5:F100,"In Progress")</f>
        <v>0</v>
      </c>
    </row>
    <row r="7" spans="1:5">
      <c r="A7" s="20" t="s">
        <v>31</v>
      </c>
      <c r="B7" s="21">
        <f>COUNTIF('Task Tracker'!F5:F100,"Blocked")</f>
        <v>0</v>
      </c>
    </row>
    <row r="8" spans="1:5">
      <c r="A8" s="20" t="s">
        <v>32</v>
      </c>
      <c r="B8" s="21">
        <f>COUNTIF('Task Tracker'!F5:F100,"Not Started")</f>
        <v>51</v>
      </c>
    </row>
    <row r="9" spans="1:5">
      <c r="A9" s="20" t="s">
        <v>33</v>
      </c>
      <c r="B9" s="22">
        <f>IF(B4=0,0,B5/B4)</f>
        <v>0</v>
      </c>
    </row>
    <row r="12" spans="1:5">
      <c r="A12" s="3" t="s">
        <v>34</v>
      </c>
    </row>
    <row r="13" spans="1:5" ht="36" customHeight="1">
      <c r="A13" s="7" t="s">
        <v>35</v>
      </c>
      <c r="B13" s="5"/>
      <c r="C13" s="5"/>
      <c r="D13" s="5"/>
      <c r="E13" s="5"/>
    </row>
  </sheetData>
  <mergeCells count="3">
    <mergeCell ref="A2:E2"/>
    <mergeCell ref="A1:E1"/>
    <mergeCell ref="A13:E13"/>
  </mergeCells>
  <pageMargins left="0.25" right="0.2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55"/>
  <sheetViews>
    <sheetView showGridLines="0" zoomScale="90" workbookViewId="0">
      <pane ySplit="4" topLeftCell="A5" activePane="bottomLeft" state="frozen"/>
      <selection pane="bottomLeft" activeCell="A4" sqref="A4"/>
    </sheetView>
  </sheetViews>
  <sheetFormatPr defaultRowHeight="14.4"/>
  <cols>
    <col min="1" max="1" width="10" customWidth="1"/>
    <col min="2" max="2" width="24" customWidth="1"/>
    <col min="3" max="3" width="38" customWidth="1"/>
    <col min="4" max="4" width="78" customWidth="1"/>
    <col min="5" max="5" width="12" customWidth="1"/>
    <col min="6" max="6" width="16" customWidth="1"/>
    <col min="7" max="7" width="18" customWidth="1"/>
    <col min="8" max="8" width="16" customWidth="1"/>
    <col min="9" max="9" width="34" customWidth="1"/>
  </cols>
  <sheetData>
    <row r="1" spans="1:9" ht="31.95" customHeight="1">
      <c r="A1" s="6" t="s">
        <v>36</v>
      </c>
      <c r="B1" s="5"/>
      <c r="C1" s="5"/>
      <c r="D1" s="5"/>
      <c r="E1" s="5"/>
      <c r="F1" s="5"/>
      <c r="G1" s="5"/>
      <c r="H1" s="5"/>
      <c r="I1" s="5"/>
    </row>
    <row r="2" spans="1:9" ht="30" customHeight="1">
      <c r="A2" s="4" t="s">
        <v>37</v>
      </c>
      <c r="B2" s="5"/>
      <c r="C2" s="5"/>
      <c r="D2" s="5"/>
      <c r="E2" s="5"/>
      <c r="F2" s="5"/>
      <c r="G2" s="5"/>
      <c r="H2" s="5"/>
      <c r="I2" s="5"/>
    </row>
    <row r="4" spans="1:9" ht="30" customHeight="1">
      <c r="A4" s="8" t="s">
        <v>38</v>
      </c>
      <c r="B4" s="8" t="s">
        <v>39</v>
      </c>
      <c r="C4" s="8" t="s">
        <v>40</v>
      </c>
      <c r="D4" s="8" t="s">
        <v>41</v>
      </c>
      <c r="E4" s="8" t="s">
        <v>42</v>
      </c>
      <c r="F4" s="8" t="s">
        <v>43</v>
      </c>
      <c r="G4" s="8" t="s">
        <v>44</v>
      </c>
      <c r="H4" s="8" t="s">
        <v>45</v>
      </c>
      <c r="I4" s="8" t="s">
        <v>46</v>
      </c>
    </row>
    <row r="5" spans="1:9" ht="42" customHeight="1">
      <c r="A5" s="10" t="s">
        <v>47</v>
      </c>
      <c r="B5" s="10" t="s">
        <v>48</v>
      </c>
      <c r="C5" s="10" t="s">
        <v>49</v>
      </c>
      <c r="D5" s="10" t="s">
        <v>50</v>
      </c>
      <c r="E5" s="10" t="s">
        <v>51</v>
      </c>
      <c r="F5" s="10" t="s">
        <v>52</v>
      </c>
      <c r="G5" s="10" t="s">
        <v>53</v>
      </c>
      <c r="H5" s="19"/>
      <c r="I5" s="19"/>
    </row>
    <row r="6" spans="1:9" ht="42" customHeight="1">
      <c r="A6" s="10" t="s">
        <v>54</v>
      </c>
      <c r="B6" s="10" t="s">
        <v>48</v>
      </c>
      <c r="C6" s="10" t="s">
        <v>55</v>
      </c>
      <c r="D6" s="10" t="s">
        <v>56</v>
      </c>
      <c r="E6" s="10" t="s">
        <v>51</v>
      </c>
      <c r="F6" s="10" t="s">
        <v>52</v>
      </c>
      <c r="G6" s="10" t="s">
        <v>53</v>
      </c>
      <c r="H6" s="19"/>
      <c r="I6" s="19"/>
    </row>
    <row r="7" spans="1:9" ht="42" customHeight="1">
      <c r="A7" s="10" t="s">
        <v>57</v>
      </c>
      <c r="B7" s="10" t="s">
        <v>48</v>
      </c>
      <c r="C7" s="10" t="s">
        <v>58</v>
      </c>
      <c r="D7" s="10" t="s">
        <v>59</v>
      </c>
      <c r="E7" s="10" t="s">
        <v>51</v>
      </c>
      <c r="F7" s="10" t="s">
        <v>52</v>
      </c>
      <c r="G7" s="10" t="s">
        <v>60</v>
      </c>
      <c r="H7" s="19"/>
      <c r="I7" s="19"/>
    </row>
    <row r="8" spans="1:9" ht="42" customHeight="1">
      <c r="A8" s="10" t="s">
        <v>61</v>
      </c>
      <c r="B8" s="10" t="s">
        <v>48</v>
      </c>
      <c r="C8" s="10" t="s">
        <v>62</v>
      </c>
      <c r="D8" s="10" t="s">
        <v>63</v>
      </c>
      <c r="E8" s="10" t="s">
        <v>51</v>
      </c>
      <c r="F8" s="10" t="s">
        <v>52</v>
      </c>
      <c r="G8" s="10" t="s">
        <v>64</v>
      </c>
      <c r="H8" s="19"/>
      <c r="I8" s="19"/>
    </row>
    <row r="9" spans="1:9" ht="42" customHeight="1">
      <c r="A9" s="10" t="s">
        <v>65</v>
      </c>
      <c r="B9" s="10" t="s">
        <v>66</v>
      </c>
      <c r="C9" s="10" t="s">
        <v>67</v>
      </c>
      <c r="D9" s="10" t="s">
        <v>68</v>
      </c>
      <c r="E9" s="10" t="s">
        <v>51</v>
      </c>
      <c r="F9" s="10" t="s">
        <v>52</v>
      </c>
      <c r="G9" s="10" t="s">
        <v>60</v>
      </c>
      <c r="H9" s="19"/>
      <c r="I9" s="19"/>
    </row>
    <row r="10" spans="1:9" ht="42" customHeight="1">
      <c r="A10" s="10" t="s">
        <v>69</v>
      </c>
      <c r="B10" s="10" t="s">
        <v>66</v>
      </c>
      <c r="C10" s="10" t="s">
        <v>70</v>
      </c>
      <c r="D10" s="10" t="s">
        <v>71</v>
      </c>
      <c r="E10" s="10" t="s">
        <v>51</v>
      </c>
      <c r="F10" s="10" t="s">
        <v>52</v>
      </c>
      <c r="G10" s="10" t="s">
        <v>72</v>
      </c>
      <c r="H10" s="19"/>
      <c r="I10" s="19"/>
    </row>
    <row r="11" spans="1:9" ht="42" customHeight="1">
      <c r="A11" s="10" t="s">
        <v>73</v>
      </c>
      <c r="B11" s="10" t="s">
        <v>66</v>
      </c>
      <c r="C11" s="10" t="s">
        <v>74</v>
      </c>
      <c r="D11" s="10" t="s">
        <v>75</v>
      </c>
      <c r="E11" s="10" t="s">
        <v>51</v>
      </c>
      <c r="F11" s="10" t="s">
        <v>52</v>
      </c>
      <c r="G11" s="10" t="s">
        <v>72</v>
      </c>
      <c r="H11" s="19"/>
      <c r="I11" s="19"/>
    </row>
    <row r="12" spans="1:9" ht="42" customHeight="1">
      <c r="A12" s="10" t="s">
        <v>76</v>
      </c>
      <c r="B12" s="10" t="s">
        <v>66</v>
      </c>
      <c r="C12" s="10" t="s">
        <v>77</v>
      </c>
      <c r="D12" s="10" t="s">
        <v>78</v>
      </c>
      <c r="E12" s="10" t="s">
        <v>51</v>
      </c>
      <c r="F12" s="10" t="s">
        <v>52</v>
      </c>
      <c r="G12" s="10" t="s">
        <v>72</v>
      </c>
      <c r="H12" s="19"/>
      <c r="I12" s="19"/>
    </row>
    <row r="13" spans="1:9" ht="42" customHeight="1">
      <c r="A13" s="10" t="s">
        <v>79</v>
      </c>
      <c r="B13" s="10" t="s">
        <v>66</v>
      </c>
      <c r="C13" s="10" t="s">
        <v>80</v>
      </c>
      <c r="D13" s="10" t="s">
        <v>81</v>
      </c>
      <c r="E13" s="10" t="s">
        <v>51</v>
      </c>
      <c r="F13" s="10" t="s">
        <v>52</v>
      </c>
      <c r="G13" s="10" t="s">
        <v>60</v>
      </c>
      <c r="H13" s="19"/>
      <c r="I13" s="19"/>
    </row>
    <row r="14" spans="1:9" ht="42" customHeight="1">
      <c r="A14" s="10" t="s">
        <v>82</v>
      </c>
      <c r="B14" s="10" t="s">
        <v>66</v>
      </c>
      <c r="C14" s="10" t="s">
        <v>83</v>
      </c>
      <c r="D14" s="10" t="s">
        <v>84</v>
      </c>
      <c r="E14" s="10" t="s">
        <v>51</v>
      </c>
      <c r="F14" s="10" t="s">
        <v>52</v>
      </c>
      <c r="G14" s="10" t="s">
        <v>72</v>
      </c>
      <c r="H14" s="19"/>
      <c r="I14" s="19"/>
    </row>
    <row r="15" spans="1:9" ht="42" customHeight="1">
      <c r="A15" s="10" t="s">
        <v>85</v>
      </c>
      <c r="B15" s="10" t="s">
        <v>66</v>
      </c>
      <c r="C15" s="10" t="s">
        <v>86</v>
      </c>
      <c r="D15" s="10" t="s">
        <v>87</v>
      </c>
      <c r="E15" s="10" t="s">
        <v>51</v>
      </c>
      <c r="F15" s="10" t="s">
        <v>52</v>
      </c>
      <c r="G15" s="10" t="s">
        <v>60</v>
      </c>
      <c r="H15" s="19"/>
      <c r="I15" s="19"/>
    </row>
    <row r="16" spans="1:9" ht="42" customHeight="1">
      <c r="A16" s="10" t="s">
        <v>88</v>
      </c>
      <c r="B16" s="10" t="s">
        <v>66</v>
      </c>
      <c r="C16" s="10" t="s">
        <v>89</v>
      </c>
      <c r="D16" s="10" t="s">
        <v>90</v>
      </c>
      <c r="E16" s="10" t="s">
        <v>51</v>
      </c>
      <c r="F16" s="10" t="s">
        <v>52</v>
      </c>
      <c r="G16" s="10" t="s">
        <v>60</v>
      </c>
      <c r="H16" s="19"/>
      <c r="I16" s="19"/>
    </row>
    <row r="17" spans="1:9" ht="42" customHeight="1">
      <c r="A17" s="10" t="s">
        <v>91</v>
      </c>
      <c r="B17" s="10" t="s">
        <v>66</v>
      </c>
      <c r="C17" s="10" t="s">
        <v>92</v>
      </c>
      <c r="D17" s="10" t="s">
        <v>93</v>
      </c>
      <c r="E17" s="10" t="s">
        <v>51</v>
      </c>
      <c r="F17" s="10" t="s">
        <v>52</v>
      </c>
      <c r="G17" s="10" t="s">
        <v>72</v>
      </c>
      <c r="H17" s="19"/>
      <c r="I17" s="19"/>
    </row>
    <row r="18" spans="1:9" ht="42" customHeight="1">
      <c r="A18" s="10" t="s">
        <v>94</v>
      </c>
      <c r="B18" s="10" t="s">
        <v>95</v>
      </c>
      <c r="C18" s="10" t="s">
        <v>96</v>
      </c>
      <c r="D18" s="10" t="s">
        <v>97</v>
      </c>
      <c r="E18" s="10" t="s">
        <v>51</v>
      </c>
      <c r="F18" s="10" t="s">
        <v>52</v>
      </c>
      <c r="G18" s="10" t="s">
        <v>53</v>
      </c>
      <c r="H18" s="19"/>
      <c r="I18" s="19"/>
    </row>
    <row r="19" spans="1:9" ht="42" customHeight="1">
      <c r="A19" s="10" t="s">
        <v>98</v>
      </c>
      <c r="B19" s="10" t="s">
        <v>95</v>
      </c>
      <c r="C19" s="10" t="s">
        <v>99</v>
      </c>
      <c r="D19" s="10" t="s">
        <v>100</v>
      </c>
      <c r="E19" s="10" t="s">
        <v>51</v>
      </c>
      <c r="F19" s="10" t="s">
        <v>52</v>
      </c>
      <c r="G19" s="10" t="s">
        <v>101</v>
      </c>
      <c r="H19" s="19"/>
      <c r="I19" s="19"/>
    </row>
    <row r="20" spans="1:9" ht="42" customHeight="1">
      <c r="A20" s="10" t="s">
        <v>102</v>
      </c>
      <c r="B20" s="10" t="s">
        <v>95</v>
      </c>
      <c r="C20" s="10" t="s">
        <v>103</v>
      </c>
      <c r="D20" s="10" t="s">
        <v>104</v>
      </c>
      <c r="E20" s="10" t="s">
        <v>51</v>
      </c>
      <c r="F20" s="10" t="s">
        <v>52</v>
      </c>
      <c r="G20" s="10" t="s">
        <v>64</v>
      </c>
      <c r="H20" s="19"/>
      <c r="I20" s="19"/>
    </row>
    <row r="21" spans="1:9" ht="42" customHeight="1">
      <c r="A21" s="10" t="s">
        <v>105</v>
      </c>
      <c r="B21" s="10" t="s">
        <v>95</v>
      </c>
      <c r="C21" s="10" t="s">
        <v>106</v>
      </c>
      <c r="D21" s="10" t="s">
        <v>107</v>
      </c>
      <c r="E21" s="10" t="s">
        <v>51</v>
      </c>
      <c r="F21" s="10" t="s">
        <v>52</v>
      </c>
      <c r="G21" s="10" t="s">
        <v>64</v>
      </c>
      <c r="H21" s="19"/>
      <c r="I21" s="19"/>
    </row>
    <row r="22" spans="1:9" ht="42" customHeight="1">
      <c r="A22" s="10" t="s">
        <v>108</v>
      </c>
      <c r="B22" s="10" t="s">
        <v>95</v>
      </c>
      <c r="C22" s="10" t="s">
        <v>109</v>
      </c>
      <c r="D22" s="10" t="s">
        <v>110</v>
      </c>
      <c r="E22" s="10" t="s">
        <v>111</v>
      </c>
      <c r="F22" s="10" t="s">
        <v>52</v>
      </c>
      <c r="G22" s="10" t="s">
        <v>64</v>
      </c>
      <c r="H22" s="19"/>
      <c r="I22" s="19"/>
    </row>
    <row r="23" spans="1:9" ht="42" customHeight="1">
      <c r="A23" s="10" t="s">
        <v>112</v>
      </c>
      <c r="B23" s="10" t="s">
        <v>95</v>
      </c>
      <c r="C23" s="10" t="s">
        <v>113</v>
      </c>
      <c r="D23" s="10" t="s">
        <v>114</v>
      </c>
      <c r="E23" s="10" t="s">
        <v>51</v>
      </c>
      <c r="F23" s="10" t="s">
        <v>52</v>
      </c>
      <c r="G23" s="10" t="s">
        <v>64</v>
      </c>
      <c r="H23" s="19"/>
      <c r="I23" s="19"/>
    </row>
    <row r="24" spans="1:9" ht="42" customHeight="1">
      <c r="A24" s="10" t="s">
        <v>115</v>
      </c>
      <c r="B24" s="10" t="s">
        <v>116</v>
      </c>
      <c r="C24" s="10" t="s">
        <v>117</v>
      </c>
      <c r="D24" s="10" t="s">
        <v>118</v>
      </c>
      <c r="E24" s="10" t="s">
        <v>51</v>
      </c>
      <c r="F24" s="10" t="s">
        <v>52</v>
      </c>
      <c r="G24" s="10" t="s">
        <v>64</v>
      </c>
      <c r="H24" s="19"/>
      <c r="I24" s="19"/>
    </row>
    <row r="25" spans="1:9" ht="42" customHeight="1">
      <c r="A25" s="10" t="s">
        <v>119</v>
      </c>
      <c r="B25" s="10" t="s">
        <v>116</v>
      </c>
      <c r="C25" s="10" t="s">
        <v>120</v>
      </c>
      <c r="D25" s="10" t="s">
        <v>121</v>
      </c>
      <c r="E25" s="10" t="s">
        <v>51</v>
      </c>
      <c r="F25" s="10" t="s">
        <v>52</v>
      </c>
      <c r="G25" s="10" t="s">
        <v>101</v>
      </c>
      <c r="H25" s="19"/>
      <c r="I25" s="19"/>
    </row>
    <row r="26" spans="1:9" ht="42" customHeight="1">
      <c r="A26" s="10" t="s">
        <v>122</v>
      </c>
      <c r="B26" s="10" t="s">
        <v>116</v>
      </c>
      <c r="C26" s="10" t="s">
        <v>123</v>
      </c>
      <c r="D26" s="10" t="s">
        <v>124</v>
      </c>
      <c r="E26" s="10" t="s">
        <v>51</v>
      </c>
      <c r="F26" s="10" t="s">
        <v>52</v>
      </c>
      <c r="G26" s="10" t="s">
        <v>64</v>
      </c>
      <c r="H26" s="19"/>
      <c r="I26" s="19"/>
    </row>
    <row r="27" spans="1:9" ht="42" customHeight="1">
      <c r="A27" s="10" t="s">
        <v>125</v>
      </c>
      <c r="B27" s="10" t="s">
        <v>116</v>
      </c>
      <c r="C27" s="10" t="s">
        <v>126</v>
      </c>
      <c r="D27" s="10" t="s">
        <v>127</v>
      </c>
      <c r="E27" s="10" t="s">
        <v>51</v>
      </c>
      <c r="F27" s="10" t="s">
        <v>52</v>
      </c>
      <c r="G27" s="10" t="s">
        <v>128</v>
      </c>
      <c r="H27" s="19"/>
      <c r="I27" s="19"/>
    </row>
    <row r="28" spans="1:9" ht="42" customHeight="1">
      <c r="A28" s="10" t="s">
        <v>129</v>
      </c>
      <c r="B28" s="10" t="s">
        <v>116</v>
      </c>
      <c r="C28" s="10" t="s">
        <v>130</v>
      </c>
      <c r="D28" s="10" t="s">
        <v>131</v>
      </c>
      <c r="E28" s="10" t="s">
        <v>51</v>
      </c>
      <c r="F28" s="10" t="s">
        <v>52</v>
      </c>
      <c r="G28" s="10" t="s">
        <v>101</v>
      </c>
      <c r="H28" s="19"/>
      <c r="I28" s="19"/>
    </row>
    <row r="29" spans="1:9" ht="42" customHeight="1">
      <c r="A29" s="10" t="s">
        <v>132</v>
      </c>
      <c r="B29" s="10" t="s">
        <v>116</v>
      </c>
      <c r="C29" s="10" t="s">
        <v>133</v>
      </c>
      <c r="D29" s="10" t="s">
        <v>134</v>
      </c>
      <c r="E29" s="10" t="s">
        <v>51</v>
      </c>
      <c r="F29" s="10" t="s">
        <v>52</v>
      </c>
      <c r="G29" s="10" t="s">
        <v>64</v>
      </c>
      <c r="H29" s="19"/>
      <c r="I29" s="19"/>
    </row>
    <row r="30" spans="1:9" ht="42" customHeight="1">
      <c r="A30" s="10" t="s">
        <v>135</v>
      </c>
      <c r="B30" s="10" t="s">
        <v>116</v>
      </c>
      <c r="C30" s="10" t="s">
        <v>136</v>
      </c>
      <c r="D30" s="10" t="s">
        <v>137</v>
      </c>
      <c r="E30" s="10" t="s">
        <v>51</v>
      </c>
      <c r="F30" s="10" t="s">
        <v>52</v>
      </c>
      <c r="G30" s="10" t="s">
        <v>101</v>
      </c>
      <c r="H30" s="19"/>
      <c r="I30" s="19"/>
    </row>
    <row r="31" spans="1:9" ht="42" customHeight="1">
      <c r="A31" s="10" t="s">
        <v>138</v>
      </c>
      <c r="B31" s="10" t="s">
        <v>139</v>
      </c>
      <c r="C31" s="10" t="s">
        <v>140</v>
      </c>
      <c r="D31" s="10" t="s">
        <v>141</v>
      </c>
      <c r="E31" s="10" t="s">
        <v>51</v>
      </c>
      <c r="F31" s="10" t="s">
        <v>52</v>
      </c>
      <c r="G31" s="10" t="s">
        <v>64</v>
      </c>
      <c r="H31" s="19"/>
      <c r="I31" s="19"/>
    </row>
    <row r="32" spans="1:9" ht="42" customHeight="1">
      <c r="A32" s="10" t="s">
        <v>142</v>
      </c>
      <c r="B32" s="10" t="s">
        <v>139</v>
      </c>
      <c r="C32" s="10" t="s">
        <v>143</v>
      </c>
      <c r="D32" s="10" t="s">
        <v>144</v>
      </c>
      <c r="E32" s="10" t="s">
        <v>51</v>
      </c>
      <c r="F32" s="10" t="s">
        <v>52</v>
      </c>
      <c r="G32" s="10" t="s">
        <v>64</v>
      </c>
      <c r="H32" s="19"/>
      <c r="I32" s="19"/>
    </row>
    <row r="33" spans="1:9" ht="42" customHeight="1">
      <c r="A33" s="10" t="s">
        <v>145</v>
      </c>
      <c r="B33" s="10" t="s">
        <v>139</v>
      </c>
      <c r="C33" s="10" t="s">
        <v>146</v>
      </c>
      <c r="D33" s="10" t="s">
        <v>147</v>
      </c>
      <c r="E33" s="10" t="s">
        <v>51</v>
      </c>
      <c r="F33" s="10" t="s">
        <v>52</v>
      </c>
      <c r="G33" s="10" t="s">
        <v>101</v>
      </c>
      <c r="H33" s="19"/>
      <c r="I33" s="19"/>
    </row>
    <row r="34" spans="1:9" ht="42" customHeight="1">
      <c r="A34" s="10" t="s">
        <v>148</v>
      </c>
      <c r="B34" s="10" t="s">
        <v>139</v>
      </c>
      <c r="C34" s="10" t="s">
        <v>149</v>
      </c>
      <c r="D34" s="10" t="s">
        <v>150</v>
      </c>
      <c r="E34" s="10" t="s">
        <v>51</v>
      </c>
      <c r="F34" s="10" t="s">
        <v>52</v>
      </c>
      <c r="G34" s="10" t="s">
        <v>64</v>
      </c>
      <c r="H34" s="19"/>
      <c r="I34" s="19"/>
    </row>
    <row r="35" spans="1:9" ht="42" customHeight="1">
      <c r="A35" s="10" t="s">
        <v>151</v>
      </c>
      <c r="B35" s="10" t="s">
        <v>139</v>
      </c>
      <c r="C35" s="10" t="s">
        <v>152</v>
      </c>
      <c r="D35" s="10" t="s">
        <v>153</v>
      </c>
      <c r="E35" s="10" t="s">
        <v>51</v>
      </c>
      <c r="F35" s="10" t="s">
        <v>52</v>
      </c>
      <c r="G35" s="10" t="s">
        <v>101</v>
      </c>
      <c r="H35" s="19"/>
      <c r="I35" s="19"/>
    </row>
    <row r="36" spans="1:9" ht="42" customHeight="1">
      <c r="A36" s="10" t="s">
        <v>154</v>
      </c>
      <c r="B36" s="10" t="s">
        <v>155</v>
      </c>
      <c r="C36" s="10" t="s">
        <v>156</v>
      </c>
      <c r="D36" s="10" t="s">
        <v>157</v>
      </c>
      <c r="E36" s="10" t="s">
        <v>51</v>
      </c>
      <c r="F36" s="10" t="s">
        <v>52</v>
      </c>
      <c r="G36" s="10" t="s">
        <v>101</v>
      </c>
      <c r="H36" s="19"/>
      <c r="I36" s="19"/>
    </row>
    <row r="37" spans="1:9" ht="42" customHeight="1">
      <c r="A37" s="10" t="s">
        <v>158</v>
      </c>
      <c r="B37" s="10" t="s">
        <v>155</v>
      </c>
      <c r="C37" s="10" t="s">
        <v>159</v>
      </c>
      <c r="D37" s="10" t="s">
        <v>160</v>
      </c>
      <c r="E37" s="10" t="s">
        <v>111</v>
      </c>
      <c r="F37" s="10" t="s">
        <v>52</v>
      </c>
      <c r="G37" s="10" t="s">
        <v>64</v>
      </c>
      <c r="H37" s="19"/>
      <c r="I37" s="19"/>
    </row>
    <row r="38" spans="1:9" ht="42" customHeight="1">
      <c r="A38" s="10" t="s">
        <v>161</v>
      </c>
      <c r="B38" s="10" t="s">
        <v>155</v>
      </c>
      <c r="C38" s="10" t="s">
        <v>162</v>
      </c>
      <c r="D38" s="10" t="s">
        <v>163</v>
      </c>
      <c r="E38" s="10" t="s">
        <v>51</v>
      </c>
      <c r="F38" s="10" t="s">
        <v>52</v>
      </c>
      <c r="G38" s="10" t="s">
        <v>101</v>
      </c>
      <c r="H38" s="19"/>
      <c r="I38" s="19"/>
    </row>
    <row r="39" spans="1:9" ht="42" customHeight="1">
      <c r="A39" s="10" t="s">
        <v>164</v>
      </c>
      <c r="B39" s="10" t="s">
        <v>155</v>
      </c>
      <c r="C39" s="10" t="s">
        <v>165</v>
      </c>
      <c r="D39" s="10" t="s">
        <v>166</v>
      </c>
      <c r="E39" s="10" t="s">
        <v>111</v>
      </c>
      <c r="F39" s="10" t="s">
        <v>52</v>
      </c>
      <c r="G39" s="10" t="s">
        <v>64</v>
      </c>
      <c r="H39" s="19"/>
      <c r="I39" s="19"/>
    </row>
    <row r="40" spans="1:9" ht="42" customHeight="1">
      <c r="A40" s="10" t="s">
        <v>167</v>
      </c>
      <c r="B40" s="10" t="s">
        <v>155</v>
      </c>
      <c r="C40" s="10" t="s">
        <v>168</v>
      </c>
      <c r="D40" s="10" t="s">
        <v>169</v>
      </c>
      <c r="E40" s="10" t="s">
        <v>111</v>
      </c>
      <c r="F40" s="10" t="s">
        <v>52</v>
      </c>
      <c r="G40" s="10" t="s">
        <v>64</v>
      </c>
      <c r="H40" s="19"/>
      <c r="I40" s="19"/>
    </row>
    <row r="41" spans="1:9" ht="42" customHeight="1">
      <c r="A41" s="10" t="s">
        <v>170</v>
      </c>
      <c r="B41" s="10" t="s">
        <v>171</v>
      </c>
      <c r="C41" s="10" t="s">
        <v>172</v>
      </c>
      <c r="D41" s="10" t="s">
        <v>173</v>
      </c>
      <c r="E41" s="10" t="s">
        <v>111</v>
      </c>
      <c r="F41" s="10" t="s">
        <v>52</v>
      </c>
      <c r="G41" s="10" t="s">
        <v>53</v>
      </c>
      <c r="H41" s="19"/>
      <c r="I41" s="19"/>
    </row>
    <row r="42" spans="1:9" ht="42" customHeight="1">
      <c r="A42" s="10" t="s">
        <v>174</v>
      </c>
      <c r="B42" s="10" t="s">
        <v>171</v>
      </c>
      <c r="C42" s="10" t="s">
        <v>175</v>
      </c>
      <c r="D42" s="10" t="s">
        <v>176</v>
      </c>
      <c r="E42" s="10" t="s">
        <v>111</v>
      </c>
      <c r="F42" s="10" t="s">
        <v>52</v>
      </c>
      <c r="G42" s="10" t="s">
        <v>64</v>
      </c>
      <c r="H42" s="19"/>
      <c r="I42" s="19"/>
    </row>
    <row r="43" spans="1:9" ht="42" customHeight="1">
      <c r="A43" s="10" t="s">
        <v>177</v>
      </c>
      <c r="B43" s="10" t="s">
        <v>171</v>
      </c>
      <c r="C43" s="10" t="s">
        <v>178</v>
      </c>
      <c r="D43" s="10" t="s">
        <v>179</v>
      </c>
      <c r="E43" s="10" t="s">
        <v>111</v>
      </c>
      <c r="F43" s="10" t="s">
        <v>52</v>
      </c>
      <c r="G43" s="10" t="s">
        <v>128</v>
      </c>
      <c r="H43" s="19"/>
      <c r="I43" s="19"/>
    </row>
    <row r="44" spans="1:9" ht="42" customHeight="1">
      <c r="A44" s="10" t="s">
        <v>180</v>
      </c>
      <c r="B44" s="10" t="s">
        <v>171</v>
      </c>
      <c r="C44" s="10" t="s">
        <v>181</v>
      </c>
      <c r="D44" s="10" t="s">
        <v>182</v>
      </c>
      <c r="E44" s="10" t="s">
        <v>111</v>
      </c>
      <c r="F44" s="10" t="s">
        <v>52</v>
      </c>
      <c r="G44" s="10" t="s">
        <v>101</v>
      </c>
      <c r="H44" s="19"/>
      <c r="I44" s="19"/>
    </row>
    <row r="45" spans="1:9" ht="42" customHeight="1">
      <c r="A45" s="10" t="s">
        <v>183</v>
      </c>
      <c r="B45" s="10" t="s">
        <v>171</v>
      </c>
      <c r="C45" s="10" t="s">
        <v>184</v>
      </c>
      <c r="D45" s="10" t="s">
        <v>185</v>
      </c>
      <c r="E45" s="10" t="s">
        <v>51</v>
      </c>
      <c r="F45" s="10" t="s">
        <v>52</v>
      </c>
      <c r="G45" s="10" t="s">
        <v>128</v>
      </c>
      <c r="H45" s="19"/>
      <c r="I45" s="19"/>
    </row>
    <row r="46" spans="1:9" ht="42" customHeight="1">
      <c r="A46" s="10" t="s">
        <v>186</v>
      </c>
      <c r="B46" s="10" t="s">
        <v>171</v>
      </c>
      <c r="C46" s="10" t="s">
        <v>187</v>
      </c>
      <c r="D46" s="10" t="s">
        <v>188</v>
      </c>
      <c r="E46" s="10" t="s">
        <v>111</v>
      </c>
      <c r="F46" s="10" t="s">
        <v>52</v>
      </c>
      <c r="G46" s="10" t="s">
        <v>101</v>
      </c>
      <c r="H46" s="19"/>
      <c r="I46" s="19"/>
    </row>
    <row r="47" spans="1:9" ht="42" customHeight="1">
      <c r="A47" s="10" t="s">
        <v>189</v>
      </c>
      <c r="B47" s="10" t="s">
        <v>190</v>
      </c>
      <c r="C47" s="10" t="s">
        <v>191</v>
      </c>
      <c r="D47" s="10" t="s">
        <v>192</v>
      </c>
      <c r="E47" s="10" t="s">
        <v>51</v>
      </c>
      <c r="F47" s="10" t="s">
        <v>52</v>
      </c>
      <c r="G47" s="10" t="s">
        <v>101</v>
      </c>
      <c r="H47" s="19"/>
      <c r="I47" s="19"/>
    </row>
    <row r="48" spans="1:9" ht="42" customHeight="1">
      <c r="A48" s="10" t="s">
        <v>193</v>
      </c>
      <c r="B48" s="10" t="s">
        <v>190</v>
      </c>
      <c r="C48" s="10" t="s">
        <v>194</v>
      </c>
      <c r="D48" s="10" t="s">
        <v>195</v>
      </c>
      <c r="E48" s="10" t="s">
        <v>51</v>
      </c>
      <c r="F48" s="10" t="s">
        <v>52</v>
      </c>
      <c r="G48" s="10" t="s">
        <v>101</v>
      </c>
      <c r="H48" s="19"/>
      <c r="I48" s="19"/>
    </row>
    <row r="49" spans="1:9" ht="42" customHeight="1">
      <c r="A49" s="10" t="s">
        <v>196</v>
      </c>
      <c r="B49" s="10" t="s">
        <v>190</v>
      </c>
      <c r="C49" s="10" t="s">
        <v>197</v>
      </c>
      <c r="D49" s="10" t="s">
        <v>198</v>
      </c>
      <c r="E49" s="10" t="s">
        <v>51</v>
      </c>
      <c r="F49" s="10" t="s">
        <v>52</v>
      </c>
      <c r="G49" s="10" t="s">
        <v>53</v>
      </c>
      <c r="H49" s="19"/>
      <c r="I49" s="19"/>
    </row>
    <row r="50" spans="1:9" ht="42" customHeight="1">
      <c r="A50" s="10" t="s">
        <v>199</v>
      </c>
      <c r="B50" s="10" t="s">
        <v>190</v>
      </c>
      <c r="C50" s="10" t="s">
        <v>200</v>
      </c>
      <c r="D50" s="10" t="s">
        <v>201</v>
      </c>
      <c r="E50" s="10" t="s">
        <v>51</v>
      </c>
      <c r="F50" s="10" t="s">
        <v>52</v>
      </c>
      <c r="G50" s="10" t="s">
        <v>64</v>
      </c>
      <c r="H50" s="19"/>
      <c r="I50" s="19"/>
    </row>
    <row r="51" spans="1:9" ht="42" customHeight="1">
      <c r="A51" s="10" t="s">
        <v>202</v>
      </c>
      <c r="B51" s="10" t="s">
        <v>203</v>
      </c>
      <c r="C51" s="10" t="s">
        <v>204</v>
      </c>
      <c r="D51" s="10" t="s">
        <v>205</v>
      </c>
      <c r="E51" s="10" t="s">
        <v>51</v>
      </c>
      <c r="F51" s="10" t="s">
        <v>52</v>
      </c>
      <c r="G51" s="10" t="s">
        <v>101</v>
      </c>
      <c r="H51" s="19"/>
      <c r="I51" s="19"/>
    </row>
    <row r="52" spans="1:9" ht="42" customHeight="1">
      <c r="A52" s="10" t="s">
        <v>206</v>
      </c>
      <c r="B52" s="10" t="s">
        <v>203</v>
      </c>
      <c r="C52" s="10" t="s">
        <v>207</v>
      </c>
      <c r="D52" s="10" t="s">
        <v>208</v>
      </c>
      <c r="E52" s="10" t="s">
        <v>111</v>
      </c>
      <c r="F52" s="10" t="s">
        <v>52</v>
      </c>
      <c r="G52" s="10" t="s">
        <v>53</v>
      </c>
      <c r="H52" s="19"/>
      <c r="I52" s="19"/>
    </row>
    <row r="53" spans="1:9" ht="42" customHeight="1">
      <c r="A53" s="10" t="s">
        <v>209</v>
      </c>
      <c r="B53" s="10" t="s">
        <v>203</v>
      </c>
      <c r="C53" s="10" t="s">
        <v>210</v>
      </c>
      <c r="D53" s="10" t="s">
        <v>211</v>
      </c>
      <c r="E53" s="10" t="s">
        <v>51</v>
      </c>
      <c r="F53" s="10" t="s">
        <v>52</v>
      </c>
      <c r="G53" s="10" t="s">
        <v>53</v>
      </c>
      <c r="H53" s="19"/>
      <c r="I53" s="19"/>
    </row>
    <row r="54" spans="1:9" ht="42" customHeight="1">
      <c r="A54" s="10" t="s">
        <v>212</v>
      </c>
      <c r="B54" s="10" t="s">
        <v>203</v>
      </c>
      <c r="C54" s="10" t="s">
        <v>213</v>
      </c>
      <c r="D54" s="10" t="s">
        <v>214</v>
      </c>
      <c r="E54" s="10" t="s">
        <v>51</v>
      </c>
      <c r="F54" s="10" t="s">
        <v>52</v>
      </c>
      <c r="G54" s="10" t="s">
        <v>64</v>
      </c>
      <c r="H54" s="19"/>
      <c r="I54" s="19"/>
    </row>
    <row r="55" spans="1:9" ht="42" customHeight="1">
      <c r="A55" s="10" t="s">
        <v>215</v>
      </c>
      <c r="B55" s="10" t="s">
        <v>203</v>
      </c>
      <c r="C55" s="10" t="s">
        <v>216</v>
      </c>
      <c r="D55" s="10" t="s">
        <v>217</v>
      </c>
      <c r="E55" s="10" t="s">
        <v>111</v>
      </c>
      <c r="F55" s="10" t="s">
        <v>52</v>
      </c>
      <c r="G55" s="10" t="s">
        <v>53</v>
      </c>
      <c r="H55" s="19"/>
      <c r="I55" s="19"/>
    </row>
  </sheetData>
  <autoFilter ref="A4:I55" xr:uid="{00000000-0009-0000-0000-000002000000}"/>
  <mergeCells count="2">
    <mergeCell ref="A1:I1"/>
    <mergeCell ref="A2:I2"/>
  </mergeCells>
  <conditionalFormatting sqref="F5:F55">
    <cfRule type="expression" dxfId="12" priority="1">
      <formula>F5="Done"</formula>
    </cfRule>
    <cfRule type="expression" dxfId="11" priority="2">
      <formula>F5="In Progress"</formula>
    </cfRule>
    <cfRule type="expression" dxfId="10" priority="3">
      <formula>F5="Blocked"</formula>
    </cfRule>
    <cfRule type="expression" dxfId="9" priority="4">
      <formula>F5="Not Started"</formula>
    </cfRule>
  </conditionalFormatting>
  <dataValidations count="1">
    <dataValidation type="list" errorTitle="Invalid status" error="Choose a status from the dropdown." promptTitle="Task status" prompt="Update this when you start or finish the task." sqref="F5:F55" xr:uid="{00000000-0002-0000-0200-000000000000}">
      <formula1>"Not Started,In Progress,Blocked,Done"</formula1>
    </dataValidation>
  </dataValidations>
  <pageMargins left="0.25" right="0.2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0"/>
  <sheetViews>
    <sheetView showGridLines="0" zoomScale="80" zoomScaleNormal="80" workbookViewId="0">
      <pane ySplit="4" topLeftCell="A14" activePane="bottomLeft" state="frozen"/>
      <selection pane="bottomLeft" activeCell="A4" sqref="A4:F20"/>
    </sheetView>
  </sheetViews>
  <sheetFormatPr defaultRowHeight="14.4"/>
  <cols>
    <col min="1" max="1" width="28" customWidth="1"/>
    <col min="2" max="2" width="20" customWidth="1"/>
    <col min="3" max="3" width="38" customWidth="1"/>
    <col min="4" max="4" width="58" customWidth="1"/>
    <col min="5" max="6" width="48" customWidth="1"/>
  </cols>
  <sheetData>
    <row r="1" spans="1:6" ht="31.95" customHeight="1">
      <c r="A1" s="6" t="s">
        <v>218</v>
      </c>
      <c r="B1" s="5"/>
      <c r="C1" s="5"/>
      <c r="D1" s="5"/>
      <c r="E1" s="5"/>
      <c r="F1" s="5"/>
    </row>
    <row r="2" spans="1:6" ht="30" customHeight="1">
      <c r="A2" s="4" t="s">
        <v>219</v>
      </c>
      <c r="B2" s="5"/>
      <c r="C2" s="5"/>
      <c r="D2" s="5"/>
      <c r="E2" s="5"/>
      <c r="F2" s="5"/>
    </row>
    <row r="4" spans="1:6" ht="30" customHeight="1">
      <c r="A4" s="8" t="s">
        <v>220</v>
      </c>
      <c r="B4" s="8" t="s">
        <v>221</v>
      </c>
      <c r="C4" s="8" t="s">
        <v>222</v>
      </c>
      <c r="D4" s="8" t="s">
        <v>223</v>
      </c>
      <c r="E4" s="8" t="s">
        <v>224</v>
      </c>
      <c r="F4" s="8" t="s">
        <v>225</v>
      </c>
    </row>
    <row r="5" spans="1:6" ht="54" customHeight="1">
      <c r="A5" s="10" t="s">
        <v>226</v>
      </c>
      <c r="B5" s="10" t="s">
        <v>227</v>
      </c>
      <c r="C5" s="10" t="s">
        <v>228</v>
      </c>
      <c r="D5" s="10" t="s">
        <v>229</v>
      </c>
      <c r="E5" s="10" t="s">
        <v>230</v>
      </c>
      <c r="F5" s="10" t="s">
        <v>231</v>
      </c>
    </row>
    <row r="6" spans="1:6" ht="54" customHeight="1">
      <c r="A6" s="10" t="s">
        <v>232</v>
      </c>
      <c r="B6" s="10" t="s">
        <v>233</v>
      </c>
      <c r="C6" s="10" t="s">
        <v>234</v>
      </c>
      <c r="D6" s="10" t="s">
        <v>235</v>
      </c>
      <c r="E6" s="10" t="s">
        <v>236</v>
      </c>
      <c r="F6" s="10" t="s">
        <v>237</v>
      </c>
    </row>
    <row r="7" spans="1:6" ht="54" customHeight="1">
      <c r="A7" s="10" t="s">
        <v>238</v>
      </c>
      <c r="B7" s="10" t="s">
        <v>239</v>
      </c>
      <c r="C7" s="10" t="s">
        <v>240</v>
      </c>
      <c r="D7" s="10" t="s">
        <v>241</v>
      </c>
      <c r="E7" s="10" t="s">
        <v>242</v>
      </c>
      <c r="F7" s="10" t="s">
        <v>243</v>
      </c>
    </row>
    <row r="8" spans="1:6" ht="54" customHeight="1">
      <c r="A8" s="10" t="s">
        <v>244</v>
      </c>
      <c r="B8" s="10" t="s">
        <v>233</v>
      </c>
      <c r="C8" s="10" t="s">
        <v>245</v>
      </c>
      <c r="D8" s="10" t="s">
        <v>246</v>
      </c>
      <c r="E8" s="10" t="s">
        <v>247</v>
      </c>
      <c r="F8" s="10" t="s">
        <v>248</v>
      </c>
    </row>
    <row r="9" spans="1:6" ht="54" customHeight="1">
      <c r="A9" s="10" t="s">
        <v>249</v>
      </c>
      <c r="B9" s="10" t="s">
        <v>250</v>
      </c>
      <c r="C9" s="10" t="s">
        <v>251</v>
      </c>
      <c r="D9" s="10" t="s">
        <v>252</v>
      </c>
      <c r="E9" s="10" t="s">
        <v>253</v>
      </c>
      <c r="F9" s="10" t="s">
        <v>254</v>
      </c>
    </row>
    <row r="10" spans="1:6" ht="54" customHeight="1">
      <c r="A10" s="10" t="s">
        <v>255</v>
      </c>
      <c r="B10" s="10" t="s">
        <v>233</v>
      </c>
      <c r="C10" s="10" t="s">
        <v>256</v>
      </c>
      <c r="D10" s="10" t="s">
        <v>257</v>
      </c>
      <c r="E10" s="10" t="s">
        <v>258</v>
      </c>
      <c r="F10" s="10" t="s">
        <v>259</v>
      </c>
    </row>
    <row r="11" spans="1:6" ht="54" customHeight="1">
      <c r="A11" s="10" t="s">
        <v>260</v>
      </c>
      <c r="B11" s="10" t="s">
        <v>233</v>
      </c>
      <c r="C11" s="10" t="s">
        <v>261</v>
      </c>
      <c r="D11" s="10" t="s">
        <v>262</v>
      </c>
      <c r="E11" s="10" t="s">
        <v>263</v>
      </c>
      <c r="F11" s="10" t="s">
        <v>264</v>
      </c>
    </row>
    <row r="12" spans="1:6" ht="54" customHeight="1">
      <c r="A12" s="10" t="s">
        <v>265</v>
      </c>
      <c r="B12" s="10" t="s">
        <v>233</v>
      </c>
      <c r="C12" s="10" t="s">
        <v>266</v>
      </c>
      <c r="D12" s="10" t="s">
        <v>267</v>
      </c>
      <c r="E12" s="10" t="s">
        <v>268</v>
      </c>
      <c r="F12" s="10" t="s">
        <v>269</v>
      </c>
    </row>
    <row r="13" spans="1:6" ht="54" customHeight="1">
      <c r="A13" s="10" t="s">
        <v>270</v>
      </c>
      <c r="B13" s="10" t="s">
        <v>271</v>
      </c>
      <c r="C13" s="10" t="s">
        <v>272</v>
      </c>
      <c r="D13" s="10" t="s">
        <v>273</v>
      </c>
      <c r="E13" s="10" t="s">
        <v>274</v>
      </c>
      <c r="F13" s="10" t="s">
        <v>275</v>
      </c>
    </row>
    <row r="14" spans="1:6" ht="54" customHeight="1">
      <c r="A14" s="10" t="s">
        <v>276</v>
      </c>
      <c r="B14" s="10" t="s">
        <v>277</v>
      </c>
      <c r="C14" s="10" t="s">
        <v>278</v>
      </c>
      <c r="D14" s="10" t="s">
        <v>279</v>
      </c>
      <c r="E14" s="10" t="s">
        <v>280</v>
      </c>
      <c r="F14" s="10" t="s">
        <v>281</v>
      </c>
    </row>
    <row r="15" spans="1:6" ht="54" customHeight="1">
      <c r="A15" s="10" t="s">
        <v>282</v>
      </c>
      <c r="B15" s="10" t="s">
        <v>283</v>
      </c>
      <c r="C15" s="10" t="s">
        <v>284</v>
      </c>
      <c r="D15" s="10" t="s">
        <v>285</v>
      </c>
      <c r="E15" s="10" t="s">
        <v>286</v>
      </c>
      <c r="F15" s="10" t="s">
        <v>287</v>
      </c>
    </row>
    <row r="16" spans="1:6" ht="54" customHeight="1">
      <c r="A16" s="10" t="s">
        <v>288</v>
      </c>
      <c r="B16" s="10" t="s">
        <v>289</v>
      </c>
      <c r="C16" s="10" t="s">
        <v>290</v>
      </c>
      <c r="D16" s="10" t="s">
        <v>291</v>
      </c>
      <c r="E16" s="10" t="s">
        <v>292</v>
      </c>
      <c r="F16" s="10" t="s">
        <v>293</v>
      </c>
    </row>
    <row r="17" spans="1:6" ht="54" customHeight="1">
      <c r="A17" s="10" t="s">
        <v>294</v>
      </c>
      <c r="B17" s="10" t="s">
        <v>295</v>
      </c>
      <c r="C17" s="10" t="s">
        <v>296</v>
      </c>
      <c r="D17" s="10" t="s">
        <v>297</v>
      </c>
      <c r="E17" s="10" t="s">
        <v>298</v>
      </c>
      <c r="F17" s="10" t="s">
        <v>299</v>
      </c>
    </row>
    <row r="18" spans="1:6" ht="54" customHeight="1">
      <c r="A18" s="10" t="s">
        <v>300</v>
      </c>
      <c r="B18" s="10" t="s">
        <v>295</v>
      </c>
      <c r="C18" s="10" t="s">
        <v>301</v>
      </c>
      <c r="D18" s="10" t="s">
        <v>302</v>
      </c>
      <c r="E18" s="10" t="s">
        <v>298</v>
      </c>
      <c r="F18" s="10" t="s">
        <v>303</v>
      </c>
    </row>
    <row r="19" spans="1:6" ht="54" customHeight="1">
      <c r="A19" s="10" t="s">
        <v>304</v>
      </c>
      <c r="B19" s="10" t="s">
        <v>295</v>
      </c>
      <c r="C19" s="10" t="s">
        <v>305</v>
      </c>
      <c r="D19" s="10" t="s">
        <v>306</v>
      </c>
      <c r="E19" s="10" t="s">
        <v>298</v>
      </c>
      <c r="F19" s="10" t="s">
        <v>307</v>
      </c>
    </row>
    <row r="20" spans="1:6" ht="54" customHeight="1">
      <c r="A20" s="10" t="s">
        <v>308</v>
      </c>
      <c r="B20" s="10" t="s">
        <v>309</v>
      </c>
      <c r="C20" s="10" t="s">
        <v>310</v>
      </c>
      <c r="D20" s="10" t="s">
        <v>311</v>
      </c>
      <c r="E20" s="10" t="s">
        <v>312</v>
      </c>
      <c r="F20" s="10" t="s">
        <v>313</v>
      </c>
    </row>
  </sheetData>
  <autoFilter ref="A4:F20" xr:uid="{00000000-0009-0000-0000-000003000000}"/>
  <mergeCells count="2">
    <mergeCell ref="A2:F2"/>
    <mergeCell ref="A1:F1"/>
  </mergeCells>
  <pageMargins left="0.25" right="0.2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3"/>
  <sheetViews>
    <sheetView showGridLines="0" zoomScale="90" workbookViewId="0">
      <pane ySplit="4" topLeftCell="A6" activePane="bottomLeft" state="frozen"/>
      <selection pane="bottomLeft" activeCell="A4" sqref="A4:E13"/>
    </sheetView>
  </sheetViews>
  <sheetFormatPr defaultRowHeight="14.4"/>
  <cols>
    <col min="1" max="1" width="24" customWidth="1"/>
    <col min="2" max="2" width="32" customWidth="1"/>
    <col min="3" max="3" width="46" customWidth="1"/>
    <col min="4" max="4" width="66" customWidth="1"/>
    <col min="5" max="5" width="18" customWidth="1"/>
  </cols>
  <sheetData>
    <row r="1" spans="1:5" ht="31.95" customHeight="1">
      <c r="A1" s="6" t="s">
        <v>314</v>
      </c>
      <c r="B1" s="5"/>
      <c r="C1" s="5"/>
      <c r="D1" s="5"/>
      <c r="E1" s="5"/>
    </row>
    <row r="2" spans="1:5" ht="30" customHeight="1">
      <c r="A2" s="4" t="s">
        <v>315</v>
      </c>
      <c r="B2" s="5"/>
      <c r="C2" s="5"/>
      <c r="D2" s="5"/>
      <c r="E2" s="5"/>
    </row>
    <row r="4" spans="1:5" ht="30" customHeight="1">
      <c r="A4" s="11" t="s">
        <v>316</v>
      </c>
      <c r="B4" s="12" t="s">
        <v>317</v>
      </c>
      <c r="C4" s="12" t="s">
        <v>318</v>
      </c>
      <c r="D4" s="12" t="s">
        <v>319</v>
      </c>
      <c r="E4" s="13" t="s">
        <v>43</v>
      </c>
    </row>
    <row r="5" spans="1:5" ht="43.95" customHeight="1">
      <c r="A5" s="14" t="s">
        <v>320</v>
      </c>
      <c r="B5" s="10" t="s">
        <v>321</v>
      </c>
      <c r="C5" s="10" t="s">
        <v>322</v>
      </c>
      <c r="D5" s="10" t="s">
        <v>323</v>
      </c>
      <c r="E5" s="15" t="s">
        <v>52</v>
      </c>
    </row>
    <row r="6" spans="1:5" ht="43.95" customHeight="1">
      <c r="A6" s="14" t="s">
        <v>324</v>
      </c>
      <c r="B6" s="10" t="s">
        <v>325</v>
      </c>
      <c r="C6" s="10" t="s">
        <v>326</v>
      </c>
      <c r="D6" s="10" t="s">
        <v>327</v>
      </c>
      <c r="E6" s="15" t="s">
        <v>52</v>
      </c>
    </row>
    <row r="7" spans="1:5" ht="43.95" customHeight="1">
      <c r="A7" s="14" t="s">
        <v>328</v>
      </c>
      <c r="B7" s="10" t="s">
        <v>329</v>
      </c>
      <c r="C7" s="10" t="s">
        <v>330</v>
      </c>
      <c r="D7" s="10" t="s">
        <v>331</v>
      </c>
      <c r="E7" s="15" t="s">
        <v>52</v>
      </c>
    </row>
    <row r="8" spans="1:5" ht="43.95" customHeight="1">
      <c r="A8" s="14" t="s">
        <v>332</v>
      </c>
      <c r="B8" s="10" t="s">
        <v>333</v>
      </c>
      <c r="C8" s="10" t="s">
        <v>334</v>
      </c>
      <c r="D8" s="10" t="s">
        <v>335</v>
      </c>
      <c r="E8" s="15" t="s">
        <v>52</v>
      </c>
    </row>
    <row r="9" spans="1:5" ht="43.95" customHeight="1">
      <c r="A9" s="14" t="s">
        <v>336</v>
      </c>
      <c r="B9" s="10" t="s">
        <v>139</v>
      </c>
      <c r="C9" s="10" t="s">
        <v>337</v>
      </c>
      <c r="D9" s="10" t="s">
        <v>338</v>
      </c>
      <c r="E9" s="15" t="s">
        <v>52</v>
      </c>
    </row>
    <row r="10" spans="1:5" ht="43.95" customHeight="1">
      <c r="A10" s="14" t="s">
        <v>339</v>
      </c>
      <c r="B10" s="10" t="s">
        <v>340</v>
      </c>
      <c r="C10" s="10" t="s">
        <v>341</v>
      </c>
      <c r="D10" s="10" t="s">
        <v>342</v>
      </c>
      <c r="E10" s="15" t="s">
        <v>52</v>
      </c>
    </row>
    <row r="11" spans="1:5" ht="43.95" customHeight="1">
      <c r="A11" s="14" t="s">
        <v>343</v>
      </c>
      <c r="B11" s="10" t="s">
        <v>344</v>
      </c>
      <c r="C11" s="10" t="s">
        <v>345</v>
      </c>
      <c r="D11" s="10" t="s">
        <v>346</v>
      </c>
      <c r="E11" s="15" t="s">
        <v>52</v>
      </c>
    </row>
    <row r="12" spans="1:5" ht="43.95" customHeight="1">
      <c r="A12" s="14" t="s">
        <v>347</v>
      </c>
      <c r="B12" s="10" t="s">
        <v>348</v>
      </c>
      <c r="C12" s="10" t="s">
        <v>349</v>
      </c>
      <c r="D12" s="10" t="s">
        <v>350</v>
      </c>
      <c r="E12" s="15" t="s">
        <v>52</v>
      </c>
    </row>
    <row r="13" spans="1:5" ht="43.95" customHeight="1">
      <c r="A13" s="16" t="s">
        <v>351</v>
      </c>
      <c r="B13" s="17" t="s">
        <v>352</v>
      </c>
      <c r="C13" s="17" t="s">
        <v>353</v>
      </c>
      <c r="D13" s="17" t="s">
        <v>354</v>
      </c>
      <c r="E13" s="18" t="s">
        <v>52</v>
      </c>
    </row>
  </sheetData>
  <mergeCells count="2">
    <mergeCell ref="A2:E2"/>
    <mergeCell ref="A1:E1"/>
  </mergeCells>
  <dataValidations count="1">
    <dataValidation type="list" sqref="E5:E13" xr:uid="{00000000-0002-0000-0400-000000000000}">
      <formula1>"Not Started,In Progress,Blocked,Done"</formula1>
    </dataValidation>
  </dataValidations>
  <pageMargins left="0.25" right="0.25" top="1" bottom="1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24"/>
  <sheetViews>
    <sheetView showGridLines="0" zoomScale="90" workbookViewId="0">
      <pane ySplit="4" topLeftCell="A5" activePane="bottomLeft" state="frozen"/>
      <selection pane="bottomLeft" sqref="A1:G1"/>
    </sheetView>
  </sheetViews>
  <sheetFormatPr defaultRowHeight="14.4"/>
  <cols>
    <col min="1" max="1" width="15" customWidth="1"/>
    <col min="2" max="2" width="25" customWidth="1"/>
    <col min="3" max="4" width="36" customWidth="1"/>
    <col min="5" max="5" width="38" customWidth="1"/>
    <col min="6" max="6" width="36" customWidth="1"/>
    <col min="7" max="7" width="32" customWidth="1"/>
  </cols>
  <sheetData>
    <row r="1" spans="1:7" ht="31.95" customHeight="1">
      <c r="A1" s="6" t="s">
        <v>355</v>
      </c>
      <c r="B1" s="5"/>
      <c r="C1" s="5"/>
      <c r="D1" s="5"/>
      <c r="E1" s="5"/>
      <c r="F1" s="5"/>
      <c r="G1" s="5"/>
    </row>
    <row r="2" spans="1:7" ht="30" customHeight="1">
      <c r="A2" s="4" t="s">
        <v>356</v>
      </c>
      <c r="B2" s="5"/>
      <c r="C2" s="5"/>
      <c r="D2" s="5"/>
      <c r="E2" s="5"/>
      <c r="F2" s="5"/>
      <c r="G2" s="5"/>
    </row>
    <row r="4" spans="1:7" ht="30" customHeight="1">
      <c r="A4" s="1" t="s">
        <v>357</v>
      </c>
      <c r="B4" s="1" t="s">
        <v>358</v>
      </c>
      <c r="C4" s="1" t="s">
        <v>359</v>
      </c>
      <c r="D4" s="1" t="s">
        <v>360</v>
      </c>
      <c r="E4" s="1" t="s">
        <v>361</v>
      </c>
      <c r="F4" s="1" t="s">
        <v>362</v>
      </c>
      <c r="G4" s="1" t="s">
        <v>363</v>
      </c>
    </row>
    <row r="5" spans="1:7" ht="43.95" customHeight="1">
      <c r="A5" s="2"/>
      <c r="B5" s="2"/>
      <c r="C5" s="2"/>
      <c r="D5" s="2"/>
      <c r="E5" s="2"/>
      <c r="F5" s="2"/>
      <c r="G5" s="2"/>
    </row>
    <row r="6" spans="1:7" ht="43.95" customHeight="1">
      <c r="A6" s="2"/>
      <c r="B6" s="2"/>
      <c r="C6" s="2"/>
      <c r="D6" s="2"/>
      <c r="E6" s="2"/>
      <c r="F6" s="2"/>
      <c r="G6" s="2"/>
    </row>
    <row r="7" spans="1:7" ht="43.95" customHeight="1">
      <c r="A7" s="2"/>
      <c r="B7" s="2"/>
      <c r="C7" s="2"/>
      <c r="D7" s="2"/>
      <c r="E7" s="2"/>
      <c r="F7" s="2"/>
      <c r="G7" s="2"/>
    </row>
    <row r="8" spans="1:7" ht="43.95" customHeight="1">
      <c r="A8" s="2"/>
      <c r="B8" s="2"/>
      <c r="C8" s="2"/>
      <c r="D8" s="2"/>
      <c r="E8" s="2"/>
      <c r="F8" s="2"/>
      <c r="G8" s="2"/>
    </row>
    <row r="9" spans="1:7" ht="43.95" customHeight="1">
      <c r="A9" s="2"/>
      <c r="B9" s="2"/>
      <c r="C9" s="2"/>
      <c r="D9" s="2"/>
      <c r="E9" s="2"/>
      <c r="F9" s="2"/>
      <c r="G9" s="2"/>
    </row>
    <row r="10" spans="1:7" ht="43.95" customHeight="1">
      <c r="A10" s="2"/>
      <c r="B10" s="2"/>
      <c r="C10" s="2"/>
      <c r="D10" s="2"/>
      <c r="E10" s="2"/>
      <c r="F10" s="2"/>
      <c r="G10" s="2"/>
    </row>
    <row r="11" spans="1:7" ht="43.95" customHeight="1">
      <c r="A11" s="2"/>
      <c r="B11" s="2"/>
      <c r="C11" s="2"/>
      <c r="D11" s="2"/>
      <c r="E11" s="2"/>
      <c r="F11" s="2"/>
      <c r="G11" s="2"/>
    </row>
    <row r="12" spans="1:7" ht="43.95" customHeight="1">
      <c r="A12" s="2"/>
      <c r="B12" s="2"/>
      <c r="C12" s="2"/>
      <c r="D12" s="2"/>
      <c r="E12" s="2"/>
      <c r="F12" s="2"/>
      <c r="G12" s="2"/>
    </row>
    <row r="13" spans="1:7" ht="43.95" customHeight="1">
      <c r="A13" s="2"/>
      <c r="B13" s="2"/>
      <c r="C13" s="2"/>
      <c r="D13" s="2"/>
      <c r="E13" s="2"/>
      <c r="F13" s="2"/>
      <c r="G13" s="2"/>
    </row>
    <row r="14" spans="1:7" ht="43.95" customHeight="1">
      <c r="A14" s="2"/>
      <c r="B14" s="2"/>
      <c r="C14" s="2"/>
      <c r="D14" s="2"/>
      <c r="E14" s="2"/>
      <c r="F14" s="2"/>
      <c r="G14" s="2"/>
    </row>
    <row r="15" spans="1:7" ht="43.95" customHeight="1">
      <c r="A15" s="2"/>
      <c r="B15" s="2"/>
      <c r="C15" s="2"/>
      <c r="D15" s="2"/>
      <c r="E15" s="2"/>
      <c r="F15" s="2"/>
      <c r="G15" s="2"/>
    </row>
    <row r="16" spans="1:7" ht="43.95" customHeight="1">
      <c r="A16" s="2"/>
      <c r="B16" s="2"/>
      <c r="C16" s="2"/>
      <c r="D16" s="2"/>
      <c r="E16" s="2"/>
      <c r="F16" s="2"/>
      <c r="G16" s="2"/>
    </row>
    <row r="17" spans="1:7" ht="43.95" customHeight="1">
      <c r="A17" s="2"/>
      <c r="B17" s="2"/>
      <c r="C17" s="2"/>
      <c r="D17" s="2"/>
      <c r="E17" s="2"/>
      <c r="F17" s="2"/>
      <c r="G17" s="2"/>
    </row>
    <row r="18" spans="1:7" ht="43.95" customHeight="1">
      <c r="A18" s="2"/>
      <c r="B18" s="2"/>
      <c r="C18" s="2"/>
      <c r="D18" s="2"/>
      <c r="E18" s="2"/>
      <c r="F18" s="2"/>
      <c r="G18" s="2"/>
    </row>
    <row r="19" spans="1:7" ht="43.95" customHeight="1">
      <c r="A19" s="2"/>
      <c r="B19" s="2"/>
      <c r="C19" s="2"/>
      <c r="D19" s="2"/>
      <c r="E19" s="2"/>
      <c r="F19" s="2"/>
      <c r="G19" s="2"/>
    </row>
    <row r="20" spans="1:7" ht="43.95" customHeight="1">
      <c r="A20" s="2"/>
      <c r="B20" s="2"/>
      <c r="C20" s="2"/>
      <c r="D20" s="2"/>
      <c r="E20" s="2"/>
      <c r="F20" s="2"/>
      <c r="G20" s="2"/>
    </row>
    <row r="21" spans="1:7" ht="43.95" customHeight="1">
      <c r="A21" s="2"/>
      <c r="B21" s="2"/>
      <c r="C21" s="2"/>
      <c r="D21" s="2"/>
      <c r="E21" s="2"/>
      <c r="F21" s="2"/>
      <c r="G21" s="2"/>
    </row>
    <row r="22" spans="1:7" ht="43.95" customHeight="1">
      <c r="A22" s="2"/>
      <c r="B22" s="2"/>
      <c r="C22" s="2"/>
      <c r="D22" s="2"/>
      <c r="E22" s="2"/>
      <c r="F22" s="2"/>
      <c r="G22" s="2"/>
    </row>
    <row r="23" spans="1:7" ht="43.95" customHeight="1">
      <c r="A23" s="2"/>
      <c r="B23" s="2"/>
      <c r="C23" s="2"/>
      <c r="D23" s="2"/>
      <c r="E23" s="2"/>
      <c r="F23" s="2"/>
      <c r="G23" s="2"/>
    </row>
    <row r="24" spans="1:7" ht="43.95" customHeight="1">
      <c r="A24" s="2"/>
      <c r="B24" s="2"/>
      <c r="C24" s="2"/>
      <c r="D24" s="2"/>
      <c r="E24" s="2"/>
      <c r="F24" s="2"/>
      <c r="G24" s="2"/>
    </row>
  </sheetData>
  <mergeCells count="2">
    <mergeCell ref="A2:G2"/>
    <mergeCell ref="A1:G1"/>
  </mergeCells>
  <pageMargins left="0.25" right="0.2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Progress Dashboard</vt:lpstr>
      <vt:lpstr>Task Tracker</vt:lpstr>
      <vt:lpstr>PC Prerequisites</vt:lpstr>
      <vt:lpstr>Weekly Plan</vt:lpstr>
      <vt:lpstr>Learning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2026-10-17T16:22:50Z</dcterms:created>
  <dcterms:modified xsi:type="dcterms:W3CDTF">2026-10-20T13:40:32Z</dcterms:modified>
</cp:coreProperties>
</file>